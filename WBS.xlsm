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" l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R4" i="1"/>
  <c r="R5" i="1" s="1"/>
  <c r="C7" i="2" l="1"/>
  <c r="D2" i="2" s="1"/>
  <c r="C2" i="2"/>
  <c r="G19" i="1"/>
  <c r="H19" i="1" s="1"/>
  <c r="G20" i="1" s="1"/>
  <c r="H20" i="1" s="1"/>
  <c r="G24" i="1"/>
  <c r="H24" i="1" s="1"/>
  <c r="G25" i="1"/>
  <c r="H25" i="1" s="1"/>
  <c r="G26" i="1"/>
  <c r="H26" i="1" s="1"/>
  <c r="G27" i="1"/>
  <c r="H27" i="1" s="1"/>
  <c r="G28" i="1"/>
  <c r="H28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H18" i="1"/>
  <c r="H17" i="1"/>
  <c r="G6" i="1" l="1"/>
  <c r="H6" i="1" s="1"/>
  <c r="G7" i="1" s="1"/>
  <c r="H7" i="1" s="1"/>
  <c r="G8" i="1" s="1"/>
  <c r="H8" i="1" s="1"/>
  <c r="G9" i="1" s="1"/>
  <c r="H9" i="1" s="1"/>
  <c r="G14" i="1" s="1"/>
  <c r="H14" i="1" s="1"/>
  <c r="G15" i="1" s="1"/>
  <c r="H15" i="1" s="1"/>
  <c r="G16" i="1" s="1"/>
  <c r="H16" i="1" s="1"/>
  <c r="G10" i="1" l="1"/>
  <c r="H10" i="1" s="1"/>
  <c r="G29" i="1" s="1"/>
  <c r="H29" i="1" s="1"/>
  <c r="G21" i="1"/>
  <c r="H21" i="1" s="1"/>
  <c r="G22" i="1" s="1"/>
  <c r="H22" i="1" s="1"/>
  <c r="G23" i="1" s="1"/>
  <c r="H23" i="1" s="1"/>
  <c r="G11" i="1" l="1"/>
  <c r="H11" i="1" s="1"/>
  <c r="G12" i="1" s="1"/>
  <c r="H12" i="1" s="1"/>
  <c r="G13" i="1" s="1"/>
  <c r="H13" i="1" s="1"/>
</calcChain>
</file>

<file path=xl/sharedStrings.xml><?xml version="1.0" encoding="utf-8"?>
<sst xmlns="http://schemas.openxmlformats.org/spreadsheetml/2006/main" count="106" uniqueCount="98">
  <si>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</si>
  <si>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</si>
  <si>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</si>
  <si>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</si>
  <si>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</si>
  <si>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</si>
  <si>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</si>
  <si>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</si>
  <si>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</si>
  <si>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</si>
  <si>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</si>
  <si>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</si>
  <si>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</si>
  <si>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</si>
  <si>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</si>
  <si>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</si>
  <si>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</si>
  <si>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</si>
  <si>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</si>
  <si>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</si>
  <si>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</si>
  <si>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</si>
  <si>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</si>
  <si>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</si>
  <si>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</si>
  <si>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</si>
  <si>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</si>
  <si>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</si>
  <si>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</si>
  <si>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</si>
  <si>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</si>
  <si>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</si>
  <si>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</si>
  <si>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</si>
  <si>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</si>
  <si>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</si>
  <si>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</si>
  <si>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</si>
  <si>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</si>
  <si>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</si>
  <si>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</si>
  <si>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</si>
  <si>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</si>
  <si>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</si>
  <si>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</si>
  <si>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</si>
  <si>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</si>
  <si>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</si>
  <si>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</si>
  <si>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</si>
  <si>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</si>
  <si>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</si>
  <si>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</si>
  <si>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</si>
  <si>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</si>
  <si>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</si>
  <si>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</si>
  <si>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</si>
  <si>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</si>
  <si>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</si>
  <si>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</si>
  <si>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</si>
  <si>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</si>
  <si>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</si>
  <si>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</si>
  <si>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</si>
  <si>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</si>
  <si>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</si>
  <si>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</si>
  <si>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</si>
  <si>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</si>
  <si>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</si>
  <si>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</si>
  <si>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</si>
  <si>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</si>
  <si>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 xml:space="preserve">      2.1.1.4 程序结构</t>
    <phoneticPr fontId="1" type="noConversion"/>
  </si>
  <si>
    <t xml:space="preserve">        2.1.1.4.1 顺序</t>
    <phoneticPr fontId="1" type="noConversion"/>
  </si>
  <si>
    <t xml:space="preserve">        2.1.1.4.2 分支</t>
    <phoneticPr fontId="1" type="noConversion"/>
  </si>
  <si>
    <t xml:space="preserve">        2.1.1.4.3 循环</t>
    <phoneticPr fontId="1" type="noConversion"/>
  </si>
  <si>
    <t xml:space="preserve">    2.1.2 面向对象</t>
    <phoneticPr fontId="1" type="noConversion"/>
  </si>
  <si>
    <t xml:space="preserve">        2.1.2.0.1 顺序</t>
    <phoneticPr fontId="1" type="noConversion"/>
  </si>
  <si>
    <t xml:space="preserve">        2.1.2.0.2 分支</t>
    <phoneticPr fontId="1" type="noConversion"/>
  </si>
  <si>
    <t xml:space="preserve">        2.1.2.0.3 循环</t>
    <phoneticPr fontId="1" type="noConversion"/>
  </si>
  <si>
    <t>ms</t>
    <phoneticPr fontId="1" type="noConversion"/>
  </si>
  <si>
    <t>星期六</t>
    <phoneticPr fontId="1" type="noConversion"/>
  </si>
  <si>
    <t>星期日</t>
    <phoneticPr fontId="1" type="noConversion"/>
  </si>
  <si>
    <t xml:space="preserve">      2.1.2.1 程序结构</t>
    <phoneticPr fontId="1" type="noConversion"/>
  </si>
  <si>
    <t xml:space="preserve">        2.1.2.1.1 顺序</t>
    <phoneticPr fontId="1" type="noConversion"/>
  </si>
  <si>
    <t xml:space="preserve">        2.1.2.1.2 分支</t>
    <phoneticPr fontId="1" type="noConversion"/>
  </si>
  <si>
    <t xml:space="preserve">        2.1.2.1.3 循环</t>
    <phoneticPr fontId="1" type="noConversion"/>
  </si>
  <si>
    <t xml:space="preserve">      2.1.2.2 程序结构</t>
    <phoneticPr fontId="1" type="noConversion"/>
  </si>
  <si>
    <t xml:space="preserve">        2.1.2.2.1 顺序</t>
    <phoneticPr fontId="1" type="noConversion"/>
  </si>
  <si>
    <t xml:space="preserve">        2.1.2.2.2 分支</t>
    <phoneticPr fontId="1" type="noConversion"/>
  </si>
  <si>
    <t xml:space="preserve">        2.1.2.2.3 循环</t>
    <phoneticPr fontId="1" type="noConversion"/>
  </si>
  <si>
    <t xml:space="preserve">    2.1.3 面向对象</t>
    <phoneticPr fontId="1" type="noConversion"/>
  </si>
  <si>
    <t xml:space="preserve">        2.1.3.0.1 顺序</t>
    <phoneticPr fontId="1" type="noConversion"/>
  </si>
  <si>
    <t xml:space="preserve">        2.1.3.0.2 分支</t>
    <phoneticPr fontId="1" type="noConversion"/>
  </si>
  <si>
    <t xml:space="preserve">        2.1.3.0.3 循环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</si>
</sst>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7" formatCode="yyyy/mm"/>
    <numFmt numFmtId="178" formatCode="0_ "/>
    <numFmt numFmtId="179" formatCode="d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indexed="14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FFF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63BA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/>
      <right style="medium">
        <color rgb="FFFF0000"/>
      </right>
      <top style="hair">
        <color theme="4" tint="0.39991454817346722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9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>
      <alignment vertical="center"/>
    </xf>
    <xf numFmtId="0" fontId="0" fillId="0" borderId="4" xfId="0" applyFill="1" applyBorder="1">
      <alignment vertical="center"/>
    </xf>
    <xf numFmtId="179" fontId="0" fillId="0" borderId="6" xfId="0" applyNumberFormat="1" applyFill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5" xfId="0" applyBorder="1">
      <alignment vertical="center"/>
    </xf>
    <xf numFmtId="9" fontId="2" fillId="0" borderId="5" xfId="0" applyNumberFormat="1" applyFont="1" applyBorder="1" applyAlignment="1">
      <alignment horizontal="center" vertical="center"/>
    </xf>
    <xf numFmtId="178" fontId="2" fillId="0" borderId="5" xfId="0" applyNumberFormat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>
      <alignment vertical="center"/>
    </xf>
    <xf numFmtId="9" fontId="0" fillId="0" borderId="5" xfId="0" applyNumberFormat="1" applyBorder="1" applyAlignment="1">
      <alignment horizontal="center" vertical="center"/>
    </xf>
    <xf numFmtId="9" fontId="0" fillId="0" borderId="5" xfId="0" applyNumberFormat="1" applyBorder="1">
      <alignment vertical="center"/>
    </xf>
    <xf numFmtId="0" fontId="0" fillId="0" borderId="8" xfId="0" applyFill="1" applyBorder="1">
      <alignment vertical="center"/>
    </xf>
    <xf numFmtId="17" fontId="0" fillId="0" borderId="2" xfId="0" applyNumberFormat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3" fillId="0" borderId="5" xfId="0" applyFont="1" applyBorder="1">
      <alignment vertical="center"/>
    </xf>
    <xf numFmtId="0" fontId="3" fillId="0" borderId="5" xfId="0" applyNumberFormat="1" applyFont="1" applyBorder="1">
      <alignment vertical="center"/>
    </xf>
    <xf numFmtId="9" fontId="6" fillId="0" borderId="5" xfId="0" applyNumberFormat="1" applyFont="1" applyBorder="1" applyAlignment="1">
      <alignment horizontal="center" vertical="center"/>
    </xf>
    <xf numFmtId="178" fontId="6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>
      <alignment vertical="center"/>
    </xf>
    <xf numFmtId="9" fontId="3" fillId="0" borderId="5" xfId="0" applyNumberFormat="1" applyFont="1" applyBorder="1" applyAlignment="1">
      <alignment horizontal="center" vertical="center"/>
    </xf>
    <xf numFmtId="9" fontId="3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9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263BA6"/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2</xdr:row>
          <xdr:rowOff>28575</xdr:rowOff>
        </xdr:from>
        <xdr:to>
          <xdr:col>2</xdr:col>
          <xdr:colOff>1228725</xdr:colOff>
          <xdr:row>3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R52"/>
  <sheetViews>
    <sheetView showGridLines="0" tabSelected="1" zoomScaleNormal="100" workbookViewId="0">
      <selection activeCell="K20" sqref="K20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69" width="3.75" customWidth="1"/>
    <col min="170" max="200" width="3.5" customWidth="1"/>
  </cols>
  <sheetData>
    <row r="1" spans="1:20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200" x14ac:dyDescent="0.2">
      <c r="C2" s="13" t="s">
        <v>73</v>
      </c>
      <c r="D2" s="15"/>
      <c r="E2" s="13" t="s">
        <v>71</v>
      </c>
      <c r="F2" s="28"/>
      <c r="G2" s="13" t="s">
        <v>72</v>
      </c>
      <c r="H2" s="7"/>
      <c r="I2" s="13" t="s">
        <v>74</v>
      </c>
      <c r="J2" s="14"/>
      <c r="K2" s="13" t="s">
        <v>84</v>
      </c>
      <c r="L2" s="37"/>
      <c r="M2" s="13" t="s">
        <v>85</v>
      </c>
      <c r="N2" s="38"/>
    </row>
    <row r="3" spans="1:200" x14ac:dyDescent="0.2">
      <c r="R3" s="8">
        <v>43120</v>
      </c>
      <c r="S3" s="26">
        <v>43102</v>
      </c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>
        <v>1</v>
      </c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>
        <v>1</v>
      </c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>
        <v>1</v>
      </c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>
        <v>1</v>
      </c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9"/>
      <c r="FN3" s="9"/>
      <c r="FO3" s="9"/>
      <c r="FP3" s="9"/>
      <c r="FQ3" s="9"/>
      <c r="FR3" s="9"/>
    </row>
    <row r="4" spans="1:200" x14ac:dyDescent="0.2">
      <c r="R4" s="12">
        <f>R3</f>
        <v>43120</v>
      </c>
      <c r="S4" s="12">
        <v>43121</v>
      </c>
      <c r="T4" s="12">
        <v>43122</v>
      </c>
      <c r="U4" s="12">
        <v>43123</v>
      </c>
      <c r="V4" s="12">
        <v>43124</v>
      </c>
      <c r="W4" s="12">
        <v>43125</v>
      </c>
      <c r="X4" s="12">
        <v>43126</v>
      </c>
      <c r="Y4" s="12">
        <v>43127</v>
      </c>
      <c r="Z4" s="12">
        <v>43128</v>
      </c>
      <c r="AA4" s="12">
        <v>43129</v>
      </c>
      <c r="AB4" s="12">
        <v>43130</v>
      </c>
      <c r="AC4" s="12">
        <v>43131</v>
      </c>
      <c r="AD4" s="12">
        <v>43132</v>
      </c>
      <c r="AE4" s="12">
        <v>43133</v>
      </c>
      <c r="AF4" s="12">
        <v>43134</v>
      </c>
      <c r="AG4" s="12">
        <v>43135</v>
      </c>
      <c r="AH4" s="12">
        <v>43136</v>
      </c>
      <c r="AI4" s="12">
        <v>43137</v>
      </c>
      <c r="AJ4" s="12">
        <v>43138</v>
      </c>
      <c r="AK4" s="12">
        <v>43139</v>
      </c>
      <c r="AL4" s="12">
        <v>43140</v>
      </c>
      <c r="AM4" s="12">
        <v>43141</v>
      </c>
      <c r="AN4" s="12">
        <v>43142</v>
      </c>
      <c r="AO4" s="12">
        <v>43143</v>
      </c>
      <c r="AP4" s="12">
        <v>43144</v>
      </c>
      <c r="AQ4" s="12">
        <v>43145</v>
      </c>
      <c r="AR4" s="12">
        <v>43146</v>
      </c>
      <c r="AS4" s="12">
        <v>43147</v>
      </c>
      <c r="AT4" s="12">
        <v>43148</v>
      </c>
      <c r="AU4" s="12">
        <v>43149</v>
      </c>
      <c r="AV4" s="12">
        <v>43150</v>
      </c>
      <c r="AW4" s="12">
        <v>43151</v>
      </c>
      <c r="AX4" s="12">
        <v>43152</v>
      </c>
      <c r="AY4" s="12">
        <v>43153</v>
      </c>
      <c r="AZ4" s="12">
        <v>43154</v>
      </c>
      <c r="BA4" s="12">
        <v>43155</v>
      </c>
      <c r="BB4" s="12">
        <v>43156</v>
      </c>
      <c r="BC4" s="12">
        <v>43157</v>
      </c>
      <c r="BD4" s="12">
        <v>43158</v>
      </c>
      <c r="BE4" s="12">
        <v>43159</v>
      </c>
      <c r="BF4" s="12">
        <v>43160</v>
      </c>
      <c r="BG4" s="12">
        <v>43161</v>
      </c>
      <c r="BH4" s="12">
        <v>43162</v>
      </c>
      <c r="BI4" s="12">
        <v>43163</v>
      </c>
      <c r="BJ4" s="12">
        <v>43164</v>
      </c>
      <c r="BK4" s="12">
        <v>43165</v>
      </c>
      <c r="BL4" s="12">
        <v>43166</v>
      </c>
      <c r="BM4" s="12">
        <v>43167</v>
      </c>
      <c r="BN4" s="12">
        <v>43168</v>
      </c>
      <c r="BO4" s="12">
        <v>43169</v>
      </c>
      <c r="BP4" s="12">
        <v>43170</v>
      </c>
      <c r="BQ4" s="12">
        <v>43171</v>
      </c>
      <c r="BR4" s="12">
        <v>43172</v>
      </c>
      <c r="BS4" s="12">
        <v>43173</v>
      </c>
      <c r="BT4" s="12">
        <v>43174</v>
      </c>
      <c r="BU4" s="12">
        <v>43175</v>
      </c>
      <c r="BV4" s="12">
        <v>43176</v>
      </c>
      <c r="BW4" s="12">
        <v>43177</v>
      </c>
      <c r="BX4" s="12">
        <v>43178</v>
      </c>
      <c r="BY4" s="12">
        <v>43179</v>
      </c>
      <c r="BZ4" s="12">
        <v>43180</v>
      </c>
      <c r="CA4" s="12">
        <v>43181</v>
      </c>
      <c r="CB4" s="12">
        <v>43182</v>
      </c>
      <c r="CC4" s="12">
        <v>43183</v>
      </c>
      <c r="CD4" s="12">
        <v>43184</v>
      </c>
      <c r="CE4" s="12">
        <v>43185</v>
      </c>
      <c r="CF4" s="12">
        <v>43186</v>
      </c>
      <c r="CG4" s="12">
        <v>43187</v>
      </c>
      <c r="CH4" s="12">
        <v>43188</v>
      </c>
      <c r="CI4" s="12">
        <v>43189</v>
      </c>
      <c r="CJ4" s="12">
        <v>43190</v>
      </c>
      <c r="CK4" s="12">
        <v>43191</v>
      </c>
      <c r="CL4" s="12">
        <v>43192</v>
      </c>
      <c r="CM4" s="12">
        <v>43193</v>
      </c>
      <c r="CN4" s="12">
        <v>43194</v>
      </c>
      <c r="CO4" s="12">
        <v>43195</v>
      </c>
      <c r="CP4" s="12">
        <v>43196</v>
      </c>
      <c r="CQ4" s="12">
        <v>43197</v>
      </c>
      <c r="CR4" s="12">
        <v>43198</v>
      </c>
      <c r="CS4" s="12">
        <v>43199</v>
      </c>
      <c r="CT4" s="12">
        <v>43200</v>
      </c>
      <c r="CU4" s="12">
        <v>43201</v>
      </c>
      <c r="CV4" s="12">
        <v>43202</v>
      </c>
      <c r="CW4" s="12">
        <v>43203</v>
      </c>
      <c r="CX4" s="12">
        <v>43204</v>
      </c>
      <c r="CY4" s="12">
        <v>43205</v>
      </c>
      <c r="CZ4" s="12">
        <v>43206</v>
      </c>
      <c r="DA4" s="12">
        <v>43207</v>
      </c>
      <c r="DB4" s="12">
        <v>43208</v>
      </c>
      <c r="DC4" s="12">
        <v>43209</v>
      </c>
      <c r="DD4" s="12">
        <v>43210</v>
      </c>
      <c r="DE4" s="12">
        <v>43211</v>
      </c>
      <c r="DF4" s="12">
        <v>43212</v>
      </c>
      <c r="DG4" s="12">
        <v>43213</v>
      </c>
      <c r="DH4" s="12">
        <v>43214</v>
      </c>
      <c r="DI4" s="12">
        <v>43215</v>
      </c>
      <c r="DJ4" s="12">
        <v>43216</v>
      </c>
      <c r="DK4" s="12">
        <v>43217</v>
      </c>
      <c r="DL4" s="12">
        <v>43218</v>
      </c>
      <c r="DM4" s="12">
        <v>43219</v>
      </c>
      <c r="DN4" s="12">
        <v>43220</v>
      </c>
      <c r="DO4" s="12">
        <v>43221</v>
      </c>
      <c r="DP4" s="12">
        <v>43222</v>
      </c>
      <c r="DQ4" s="12">
        <v>43223</v>
      </c>
      <c r="DR4" s="12">
        <v>43224</v>
      </c>
      <c r="DS4" s="12">
        <v>43225</v>
      </c>
      <c r="DT4" s="12">
        <v>43226</v>
      </c>
      <c r="DU4" s="12">
        <v>43227</v>
      </c>
      <c r="DV4" s="12">
        <v>43228</v>
      </c>
      <c r="DW4" s="12">
        <v>43229</v>
      </c>
      <c r="DX4" s="12">
        <v>43230</v>
      </c>
      <c r="DY4" s="12">
        <v>43231</v>
      </c>
      <c r="DZ4" s="12">
        <v>43232</v>
      </c>
      <c r="EA4" s="12">
        <v>43233</v>
      </c>
      <c r="EB4" s="12">
        <v>43234</v>
      </c>
      <c r="EC4" s="12">
        <v>43235</v>
      </c>
      <c r="ED4" s="12">
        <v>43236</v>
      </c>
      <c r="EE4" s="12">
        <v>43237</v>
      </c>
      <c r="EF4" s="12">
        <v>43238</v>
      </c>
      <c r="EG4" s="12">
        <v>43239</v>
      </c>
      <c r="EH4" s="12">
        <v>43240</v>
      </c>
      <c r="EI4" s="12">
        <v>43241</v>
      </c>
      <c r="EJ4" s="12">
        <v>43242</v>
      </c>
      <c r="EK4" s="12">
        <v>43243</v>
      </c>
      <c r="EL4" s="12">
        <v>43244</v>
      </c>
      <c r="EM4" s="12">
        <v>43245</v>
      </c>
      <c r="EN4" s="12">
        <v>43246</v>
      </c>
      <c r="EO4" s="12">
        <v>43247</v>
      </c>
      <c r="EP4" s="12">
        <v>43248</v>
      </c>
      <c r="EQ4" s="12">
        <v>43249</v>
      </c>
      <c r="ER4" s="12">
        <v>43250</v>
      </c>
      <c r="ES4" s="12">
        <v>43251</v>
      </c>
      <c r="ET4" s="12">
        <v>43252</v>
      </c>
      <c r="EU4" s="12">
        <v>43253</v>
      </c>
      <c r="EV4" s="12">
        <v>43254</v>
      </c>
      <c r="EW4" s="12">
        <v>43255</v>
      </c>
      <c r="EX4" s="12">
        <v>43256</v>
      </c>
      <c r="EY4" s="12">
        <v>43257</v>
      </c>
      <c r="EZ4" s="12">
        <v>43258</v>
      </c>
      <c r="FA4" s="12">
        <v>43259</v>
      </c>
      <c r="FB4" s="12">
        <v>43260</v>
      </c>
      <c r="FC4" s="12">
        <v>43261</v>
      </c>
      <c r="FD4" s="12">
        <v>43262</v>
      </c>
      <c r="FE4" s="12">
        <v>43263</v>
      </c>
      <c r="FF4" s="12">
        <v>43264</v>
      </c>
      <c r="FG4" s="12">
        <v>43265</v>
      </c>
      <c r="FH4" s="12">
        <v>43266</v>
      </c>
      <c r="FI4" s="12">
        <v>43267</v>
      </c>
      <c r="FJ4" s="12">
        <v>43268</v>
      </c>
      <c r="FK4" s="12">
        <v>43269</v>
      </c>
      <c r="FL4" s="12">
        <v>43270</v>
      </c>
      <c r="FM4" s="12">
        <v>43271</v>
      </c>
      <c r="FN4" s="12">
        <v>43272</v>
      </c>
      <c r="FO4" s="12">
        <v>43273</v>
      </c>
      <c r="FP4" s="12">
        <v>43274</v>
      </c>
      <c r="FQ4" s="12">
        <v>43275</v>
      </c>
      <c r="FR4" s="12">
        <v>43276</v>
      </c>
      <c r="FS4" s="12">
        <v>43277</v>
      </c>
      <c r="FT4" s="12">
        <v>43278</v>
      </c>
      <c r="FU4" s="12">
        <v>43279</v>
      </c>
      <c r="FV4" s="12">
        <v>43280</v>
      </c>
      <c r="FW4" s="12">
        <v>43281</v>
      </c>
      <c r="FX4" s="12">
        <v>43282</v>
      </c>
      <c r="FY4" s="12">
        <v>43283</v>
      </c>
      <c r="FZ4" s="12">
        <v>43284</v>
      </c>
      <c r="GA4" s="12">
        <v>43285</v>
      </c>
      <c r="GB4" s="12">
        <v>43286</v>
      </c>
      <c r="GC4" s="12">
        <v>43287</v>
      </c>
      <c r="GD4" s="12">
        <v>43288</v>
      </c>
      <c r="GE4" s="12">
        <v>43289</v>
      </c>
      <c r="GF4" s="12">
        <v>43290</v>
      </c>
      <c r="GG4" s="12">
        <v>43291</v>
      </c>
      <c r="GH4" s="12">
        <v>43292</v>
      </c>
      <c r="GI4" s="12">
        <v>43293</v>
      </c>
      <c r="GJ4" s="12">
        <v>43294</v>
      </c>
      <c r="GK4" s="12">
        <v>43295</v>
      </c>
      <c r="GL4" s="12">
        <v>43296</v>
      </c>
      <c r="GM4" s="12">
        <v>43297</v>
      </c>
      <c r="GN4" s="12">
        <v>43298</v>
      </c>
      <c r="GO4" s="12">
        <v>43299</v>
      </c>
      <c r="GP4" s="12">
        <v>43300</v>
      </c>
      <c r="GQ4" s="12">
        <v>43301</v>
      </c>
      <c r="GR4" s="12"/>
    </row>
    <row r="5" spans="1:200" x14ac:dyDescent="0.2">
      <c r="B5" s="27" t="s">
        <v>0</v>
      </c>
      <c r="C5" s="27" t="s">
        <v>1</v>
      </c>
      <c r="D5" s="27" t="s">
        <v>2</v>
      </c>
      <c r="E5" s="27" t="s">
        <v>3</v>
      </c>
      <c r="F5" s="27" t="s">
        <v>69</v>
      </c>
      <c r="G5" s="27" t="s">
        <v>9</v>
      </c>
      <c r="H5" s="27" t="s">
        <v>10</v>
      </c>
      <c r="I5" s="27" t="s">
        <v>11</v>
      </c>
      <c r="J5" s="27" t="s">
        <v>12</v>
      </c>
      <c r="K5" s="27" t="s">
        <v>4</v>
      </c>
      <c r="L5" s="27" t="s">
        <v>5</v>
      </c>
      <c r="M5" s="27" t="s">
        <v>6</v>
      </c>
      <c r="N5" s="27" t="s">
        <v>7</v>
      </c>
      <c r="O5" s="27" t="s">
        <v>8</v>
      </c>
      <c r="P5" s="27" t="s">
        <v>13</v>
      </c>
      <c r="Q5" s="27" t="s">
        <v>14</v>
      </c>
      <c r="R5" s="16" t="str">
        <f>IF(R4="","",CHOOSE(WEEKDAY(R4,2),"一","二","三","四","五","六","日"))</f>
        <v>六</v>
      </c>
      <c r="S5" s="16" t="str">
        <f t="shared" ref="S5:CD5" si="0">IF(S4="","",CHOOSE(WEEKDAY(S4,2),"一","二","三","四","五","六","日"))</f>
        <v>日</v>
      </c>
      <c r="T5" s="16" t="str">
        <f t="shared" si="0"/>
        <v>一</v>
      </c>
      <c r="U5" s="16" t="str">
        <f t="shared" si="0"/>
        <v>二</v>
      </c>
      <c r="V5" s="16" t="str">
        <f t="shared" si="0"/>
        <v>三</v>
      </c>
      <c r="W5" s="16" t="str">
        <f t="shared" si="0"/>
        <v>四</v>
      </c>
      <c r="X5" s="16" t="str">
        <f t="shared" si="0"/>
        <v>五</v>
      </c>
      <c r="Y5" s="16" t="str">
        <f t="shared" si="0"/>
        <v>六</v>
      </c>
      <c r="Z5" s="16" t="str">
        <f t="shared" si="0"/>
        <v>日</v>
      </c>
      <c r="AA5" s="16" t="str">
        <f t="shared" si="0"/>
        <v>一</v>
      </c>
      <c r="AB5" s="16" t="str">
        <f t="shared" si="0"/>
        <v>二</v>
      </c>
      <c r="AC5" s="16" t="str">
        <f t="shared" si="0"/>
        <v>三</v>
      </c>
      <c r="AD5" s="16" t="str">
        <f t="shared" si="0"/>
        <v>四</v>
      </c>
      <c r="AE5" s="16" t="str">
        <f t="shared" si="0"/>
        <v>五</v>
      </c>
      <c r="AF5" s="16" t="str">
        <f t="shared" si="0"/>
        <v>六</v>
      </c>
      <c r="AG5" s="16" t="str">
        <f t="shared" si="0"/>
        <v>日</v>
      </c>
      <c r="AH5" s="16" t="str">
        <f t="shared" si="0"/>
        <v>一</v>
      </c>
      <c r="AI5" s="16" t="str">
        <f t="shared" si="0"/>
        <v>二</v>
      </c>
      <c r="AJ5" s="16" t="str">
        <f t="shared" si="0"/>
        <v>三</v>
      </c>
      <c r="AK5" s="16" t="str">
        <f t="shared" si="0"/>
        <v>四</v>
      </c>
      <c r="AL5" s="16" t="str">
        <f t="shared" si="0"/>
        <v>五</v>
      </c>
      <c r="AM5" s="16" t="str">
        <f t="shared" si="0"/>
        <v>六</v>
      </c>
      <c r="AN5" s="16" t="str">
        <f t="shared" si="0"/>
        <v>日</v>
      </c>
      <c r="AO5" s="16" t="str">
        <f t="shared" si="0"/>
        <v>一</v>
      </c>
      <c r="AP5" s="16" t="str">
        <f t="shared" si="0"/>
        <v>二</v>
      </c>
      <c r="AQ5" s="16" t="str">
        <f t="shared" si="0"/>
        <v>三</v>
      </c>
      <c r="AR5" s="16" t="str">
        <f t="shared" si="0"/>
        <v>四</v>
      </c>
      <c r="AS5" s="16" t="str">
        <f t="shared" si="0"/>
        <v>五</v>
      </c>
      <c r="AT5" s="16" t="str">
        <f t="shared" si="0"/>
        <v>六</v>
      </c>
      <c r="AU5" s="16" t="str">
        <f t="shared" si="0"/>
        <v>日</v>
      </c>
      <c r="AV5" s="16" t="str">
        <f t="shared" si="0"/>
        <v>一</v>
      </c>
      <c r="AW5" s="16" t="str">
        <f t="shared" si="0"/>
        <v>二</v>
      </c>
      <c r="AX5" s="16" t="str">
        <f t="shared" si="0"/>
        <v>三</v>
      </c>
      <c r="AY5" s="16" t="str">
        <f t="shared" si="0"/>
        <v>四</v>
      </c>
      <c r="AZ5" s="16" t="str">
        <f t="shared" si="0"/>
        <v>五</v>
      </c>
      <c r="BA5" s="16" t="str">
        <f t="shared" si="0"/>
        <v>六</v>
      </c>
      <c r="BB5" s="16" t="str">
        <f t="shared" si="0"/>
        <v>日</v>
      </c>
      <c r="BC5" s="16" t="str">
        <f t="shared" si="0"/>
        <v>一</v>
      </c>
      <c r="BD5" s="16" t="str">
        <f t="shared" si="0"/>
        <v>二</v>
      </c>
      <c r="BE5" s="16" t="str">
        <f t="shared" si="0"/>
        <v>三</v>
      </c>
      <c r="BF5" s="16" t="str">
        <f t="shared" si="0"/>
        <v>四</v>
      </c>
      <c r="BG5" s="16" t="str">
        <f t="shared" si="0"/>
        <v>五</v>
      </c>
      <c r="BH5" s="16" t="str">
        <f t="shared" si="0"/>
        <v>六</v>
      </c>
      <c r="BI5" s="16" t="str">
        <f t="shared" si="0"/>
        <v>日</v>
      </c>
      <c r="BJ5" s="16" t="str">
        <f t="shared" si="0"/>
        <v>一</v>
      </c>
      <c r="BK5" s="16" t="str">
        <f t="shared" si="0"/>
        <v>二</v>
      </c>
      <c r="BL5" s="16" t="str">
        <f t="shared" si="0"/>
        <v>三</v>
      </c>
      <c r="BM5" s="16" t="str">
        <f t="shared" si="0"/>
        <v>四</v>
      </c>
      <c r="BN5" s="16" t="str">
        <f t="shared" si="0"/>
        <v>五</v>
      </c>
      <c r="BO5" s="16" t="str">
        <f t="shared" si="0"/>
        <v>六</v>
      </c>
      <c r="BP5" s="16" t="str">
        <f t="shared" si="0"/>
        <v>日</v>
      </c>
      <c r="BQ5" s="16" t="str">
        <f t="shared" si="0"/>
        <v>一</v>
      </c>
      <c r="BR5" s="16" t="str">
        <f t="shared" si="0"/>
        <v>二</v>
      </c>
      <c r="BS5" s="16" t="str">
        <f t="shared" si="0"/>
        <v>三</v>
      </c>
      <c r="BT5" s="16" t="str">
        <f t="shared" si="0"/>
        <v>四</v>
      </c>
      <c r="BU5" s="16" t="str">
        <f t="shared" si="0"/>
        <v>五</v>
      </c>
      <c r="BV5" s="16" t="str">
        <f t="shared" si="0"/>
        <v>六</v>
      </c>
      <c r="BW5" s="16" t="str">
        <f t="shared" si="0"/>
        <v>日</v>
      </c>
      <c r="BX5" s="16" t="str">
        <f t="shared" si="0"/>
        <v>一</v>
      </c>
      <c r="BY5" s="16" t="str">
        <f t="shared" si="0"/>
        <v>二</v>
      </c>
      <c r="BZ5" s="16" t="str">
        <f t="shared" si="0"/>
        <v>三</v>
      </c>
      <c r="CA5" s="16" t="str">
        <f t="shared" si="0"/>
        <v>四</v>
      </c>
      <c r="CB5" s="16" t="str">
        <f t="shared" si="0"/>
        <v>五</v>
      </c>
      <c r="CC5" s="16" t="str">
        <f t="shared" si="0"/>
        <v>六</v>
      </c>
      <c r="CD5" s="16" t="str">
        <f t="shared" si="0"/>
        <v>日</v>
      </c>
      <c r="CE5" s="16" t="str">
        <f t="shared" ref="CE5:EP5" si="1">IF(CE4="","",CHOOSE(WEEKDAY(CE4,2),"一","二","三","四","五","六","日"))</f>
        <v>一</v>
      </c>
      <c r="CF5" s="16" t="str">
        <f t="shared" si="1"/>
        <v>二</v>
      </c>
      <c r="CG5" s="16" t="str">
        <f t="shared" si="1"/>
        <v>三</v>
      </c>
      <c r="CH5" s="16" t="str">
        <f t="shared" si="1"/>
        <v>四</v>
      </c>
      <c r="CI5" s="16" t="str">
        <f t="shared" si="1"/>
        <v>五</v>
      </c>
      <c r="CJ5" s="16" t="str">
        <f t="shared" si="1"/>
        <v>六</v>
      </c>
      <c r="CK5" s="16" t="str">
        <f t="shared" si="1"/>
        <v>日</v>
      </c>
      <c r="CL5" s="16" t="str">
        <f t="shared" si="1"/>
        <v>一</v>
      </c>
      <c r="CM5" s="16" t="str">
        <f t="shared" si="1"/>
        <v>二</v>
      </c>
      <c r="CN5" s="16" t="str">
        <f t="shared" si="1"/>
        <v>三</v>
      </c>
      <c r="CO5" s="16" t="str">
        <f t="shared" si="1"/>
        <v>四</v>
      </c>
      <c r="CP5" s="16" t="str">
        <f t="shared" si="1"/>
        <v>五</v>
      </c>
      <c r="CQ5" s="16" t="str">
        <f t="shared" si="1"/>
        <v>六</v>
      </c>
      <c r="CR5" s="16" t="str">
        <f t="shared" si="1"/>
        <v>日</v>
      </c>
      <c r="CS5" s="16" t="str">
        <f t="shared" si="1"/>
        <v>一</v>
      </c>
      <c r="CT5" s="16" t="str">
        <f t="shared" si="1"/>
        <v>二</v>
      </c>
      <c r="CU5" s="16" t="str">
        <f t="shared" si="1"/>
        <v>三</v>
      </c>
      <c r="CV5" s="16" t="str">
        <f t="shared" si="1"/>
        <v>四</v>
      </c>
      <c r="CW5" s="16" t="str">
        <f t="shared" si="1"/>
        <v>五</v>
      </c>
      <c r="CX5" s="16" t="str">
        <f t="shared" si="1"/>
        <v>六</v>
      </c>
      <c r="CY5" s="16" t="str">
        <f t="shared" si="1"/>
        <v>日</v>
      </c>
      <c r="CZ5" s="16" t="str">
        <f t="shared" si="1"/>
        <v>一</v>
      </c>
      <c r="DA5" s="16" t="str">
        <f t="shared" si="1"/>
        <v>二</v>
      </c>
      <c r="DB5" s="16" t="str">
        <f t="shared" si="1"/>
        <v>三</v>
      </c>
      <c r="DC5" s="16" t="str">
        <f t="shared" si="1"/>
        <v>四</v>
      </c>
      <c r="DD5" s="16" t="str">
        <f t="shared" si="1"/>
        <v>五</v>
      </c>
      <c r="DE5" s="16" t="str">
        <f t="shared" si="1"/>
        <v>六</v>
      </c>
      <c r="DF5" s="16" t="str">
        <f t="shared" si="1"/>
        <v>日</v>
      </c>
      <c r="DG5" s="16" t="str">
        <f t="shared" si="1"/>
        <v>一</v>
      </c>
      <c r="DH5" s="16" t="str">
        <f t="shared" si="1"/>
        <v>二</v>
      </c>
      <c r="DI5" s="16" t="str">
        <f t="shared" si="1"/>
        <v>三</v>
      </c>
      <c r="DJ5" s="16" t="str">
        <f t="shared" si="1"/>
        <v>四</v>
      </c>
      <c r="DK5" s="16" t="str">
        <f t="shared" si="1"/>
        <v>五</v>
      </c>
      <c r="DL5" s="16" t="str">
        <f t="shared" si="1"/>
        <v>六</v>
      </c>
      <c r="DM5" s="16" t="str">
        <f t="shared" si="1"/>
        <v>日</v>
      </c>
      <c r="DN5" s="16" t="str">
        <f t="shared" si="1"/>
        <v>一</v>
      </c>
      <c r="DO5" s="16" t="str">
        <f t="shared" si="1"/>
        <v>二</v>
      </c>
      <c r="DP5" s="16" t="str">
        <f t="shared" si="1"/>
        <v>三</v>
      </c>
      <c r="DQ5" s="16" t="str">
        <f t="shared" si="1"/>
        <v>四</v>
      </c>
      <c r="DR5" s="16" t="str">
        <f t="shared" si="1"/>
        <v>五</v>
      </c>
      <c r="DS5" s="16" t="str">
        <f t="shared" si="1"/>
        <v>六</v>
      </c>
      <c r="DT5" s="16" t="str">
        <f t="shared" si="1"/>
        <v>日</v>
      </c>
      <c r="DU5" s="16" t="str">
        <f t="shared" si="1"/>
        <v>一</v>
      </c>
      <c r="DV5" s="16" t="str">
        <f t="shared" si="1"/>
        <v>二</v>
      </c>
      <c r="DW5" s="16" t="str">
        <f t="shared" si="1"/>
        <v>三</v>
      </c>
      <c r="DX5" s="16" t="str">
        <f t="shared" si="1"/>
        <v>四</v>
      </c>
      <c r="DY5" s="16" t="str">
        <f t="shared" si="1"/>
        <v>五</v>
      </c>
      <c r="DZ5" s="16" t="str">
        <f t="shared" si="1"/>
        <v>六</v>
      </c>
      <c r="EA5" s="16" t="str">
        <f t="shared" si="1"/>
        <v>日</v>
      </c>
      <c r="EB5" s="16" t="str">
        <f t="shared" si="1"/>
        <v>一</v>
      </c>
      <c r="EC5" s="16" t="str">
        <f t="shared" si="1"/>
        <v>二</v>
      </c>
      <c r="ED5" s="16" t="str">
        <f t="shared" si="1"/>
        <v>三</v>
      </c>
      <c r="EE5" s="16" t="str">
        <f t="shared" si="1"/>
        <v>四</v>
      </c>
      <c r="EF5" s="16" t="str">
        <f t="shared" si="1"/>
        <v>五</v>
      </c>
      <c r="EG5" s="16" t="str">
        <f t="shared" si="1"/>
        <v>六</v>
      </c>
      <c r="EH5" s="16" t="str">
        <f t="shared" si="1"/>
        <v>日</v>
      </c>
      <c r="EI5" s="16" t="str">
        <f t="shared" si="1"/>
        <v>一</v>
      </c>
      <c r="EJ5" s="16" t="str">
        <f t="shared" si="1"/>
        <v>二</v>
      </c>
      <c r="EK5" s="16" t="str">
        <f t="shared" si="1"/>
        <v>三</v>
      </c>
      <c r="EL5" s="16" t="str">
        <f t="shared" si="1"/>
        <v>四</v>
      </c>
      <c r="EM5" s="16" t="str">
        <f t="shared" si="1"/>
        <v>五</v>
      </c>
      <c r="EN5" s="16" t="str">
        <f t="shared" si="1"/>
        <v>六</v>
      </c>
      <c r="EO5" s="16" t="str">
        <f t="shared" si="1"/>
        <v>日</v>
      </c>
      <c r="EP5" s="16" t="str">
        <f t="shared" si="1"/>
        <v>一</v>
      </c>
      <c r="EQ5" s="16" t="str">
        <f t="shared" ref="EQ5:GR5" si="2">IF(EQ4="","",CHOOSE(WEEKDAY(EQ4,2),"一","二","三","四","五","六","日"))</f>
        <v>二</v>
      </c>
      <c r="ER5" s="16" t="str">
        <f t="shared" si="2"/>
        <v>三</v>
      </c>
      <c r="ES5" s="16" t="str">
        <f t="shared" si="2"/>
        <v>四</v>
      </c>
      <c r="ET5" s="16" t="str">
        <f t="shared" si="2"/>
        <v>五</v>
      </c>
      <c r="EU5" s="16" t="str">
        <f t="shared" si="2"/>
        <v>六</v>
      </c>
      <c r="EV5" s="16" t="str">
        <f t="shared" si="2"/>
        <v>日</v>
      </c>
      <c r="EW5" s="16" t="str">
        <f t="shared" si="2"/>
        <v>一</v>
      </c>
      <c r="EX5" s="16" t="str">
        <f t="shared" si="2"/>
        <v>二</v>
      </c>
      <c r="EY5" s="16" t="str">
        <f t="shared" si="2"/>
        <v>三</v>
      </c>
      <c r="EZ5" s="16" t="str">
        <f t="shared" si="2"/>
        <v>四</v>
      </c>
      <c r="FA5" s="16" t="str">
        <f t="shared" si="2"/>
        <v>五</v>
      </c>
      <c r="FB5" s="16" t="str">
        <f t="shared" si="2"/>
        <v>六</v>
      </c>
      <c r="FC5" s="16" t="str">
        <f t="shared" si="2"/>
        <v>日</v>
      </c>
      <c r="FD5" s="16" t="str">
        <f t="shared" si="2"/>
        <v>一</v>
      </c>
      <c r="FE5" s="16" t="str">
        <f t="shared" si="2"/>
        <v>二</v>
      </c>
      <c r="FF5" s="16" t="str">
        <f t="shared" si="2"/>
        <v>三</v>
      </c>
      <c r="FG5" s="16" t="str">
        <f t="shared" si="2"/>
        <v>四</v>
      </c>
      <c r="FH5" s="16" t="str">
        <f t="shared" si="2"/>
        <v>五</v>
      </c>
      <c r="FI5" s="16" t="str">
        <f t="shared" si="2"/>
        <v>六</v>
      </c>
      <c r="FJ5" s="16" t="str">
        <f t="shared" si="2"/>
        <v>日</v>
      </c>
      <c r="FK5" s="16" t="str">
        <f t="shared" si="2"/>
        <v>一</v>
      </c>
      <c r="FL5" s="16" t="str">
        <f t="shared" si="2"/>
        <v>二</v>
      </c>
      <c r="FM5" s="16" t="str">
        <f t="shared" si="2"/>
        <v>三</v>
      </c>
      <c r="FN5" s="16" t="str">
        <f t="shared" si="2"/>
        <v>四</v>
      </c>
      <c r="FO5" s="16" t="str">
        <f t="shared" si="2"/>
        <v>五</v>
      </c>
      <c r="FP5" s="16" t="str">
        <f t="shared" si="2"/>
        <v>六</v>
      </c>
      <c r="FQ5" s="16" t="str">
        <f t="shared" si="2"/>
        <v>日</v>
      </c>
      <c r="FR5" s="16" t="str">
        <f t="shared" si="2"/>
        <v>一</v>
      </c>
      <c r="FS5" s="16" t="str">
        <f t="shared" si="2"/>
        <v>二</v>
      </c>
      <c r="FT5" s="16" t="str">
        <f t="shared" si="2"/>
        <v>三</v>
      </c>
      <c r="FU5" s="16" t="str">
        <f t="shared" si="2"/>
        <v>四</v>
      </c>
      <c r="FV5" s="16" t="str">
        <f t="shared" si="2"/>
        <v>五</v>
      </c>
      <c r="FW5" s="16" t="str">
        <f t="shared" si="2"/>
        <v>六</v>
      </c>
      <c r="FX5" s="16" t="str">
        <f t="shared" si="2"/>
        <v>日</v>
      </c>
      <c r="FY5" s="16" t="str">
        <f t="shared" si="2"/>
        <v>一</v>
      </c>
      <c r="FZ5" s="16" t="str">
        <f t="shared" si="2"/>
        <v>二</v>
      </c>
      <c r="GA5" s="16" t="str">
        <f t="shared" si="2"/>
        <v>三</v>
      </c>
      <c r="GB5" s="16" t="str">
        <f t="shared" si="2"/>
        <v>四</v>
      </c>
      <c r="GC5" s="16" t="str">
        <f t="shared" si="2"/>
        <v>五</v>
      </c>
      <c r="GD5" s="16" t="str">
        <f t="shared" si="2"/>
        <v>六</v>
      </c>
      <c r="GE5" s="16" t="str">
        <f t="shared" si="2"/>
        <v>日</v>
      </c>
      <c r="GF5" s="16" t="str">
        <f t="shared" si="2"/>
        <v>一</v>
      </c>
      <c r="GG5" s="16" t="str">
        <f t="shared" si="2"/>
        <v>二</v>
      </c>
      <c r="GH5" s="16" t="str">
        <f t="shared" si="2"/>
        <v>三</v>
      </c>
      <c r="GI5" s="16" t="str">
        <f t="shared" si="2"/>
        <v>四</v>
      </c>
      <c r="GJ5" s="16" t="str">
        <f t="shared" si="2"/>
        <v>五</v>
      </c>
      <c r="GK5" s="16" t="str">
        <f t="shared" si="2"/>
        <v>六</v>
      </c>
      <c r="GL5" s="16" t="str">
        <f t="shared" si="2"/>
        <v>日</v>
      </c>
      <c r="GM5" s="16" t="str">
        <f t="shared" si="2"/>
        <v>一</v>
      </c>
      <c r="GN5" s="16" t="str">
        <f t="shared" si="2"/>
        <v>二</v>
      </c>
      <c r="GO5" s="16" t="str">
        <f t="shared" si="2"/>
        <v>三</v>
      </c>
      <c r="GP5" s="16" t="str">
        <f t="shared" si="2"/>
        <v>四</v>
      </c>
      <c r="GQ5" s="16" t="str">
        <f t="shared" si="2"/>
        <v>五</v>
      </c>
      <c r="GR5" s="16" t="str">
        <f t="shared" si="2"/>
        <v/>
      </c>
    </row>
    <row r="6" spans="1:200" x14ac:dyDescent="0.2">
      <c r="B6" s="18"/>
      <c r="C6" s="29" t="s">
        <v>20</v>
      </c>
      <c r="D6" s="30"/>
      <c r="E6" s="31">
        <v>1</v>
      </c>
      <c r="F6" s="32">
        <v>1</v>
      </c>
      <c r="G6" s="33">
        <f t="shared" ref="G6:G16" si="3">IF(F6=0,VLOOKUP(O6,$C$6:$O$36,6,FALSE),VLOOKUP(O6,$C$6:$O$36,6,FALSE)+1)</f>
        <v>43102</v>
      </c>
      <c r="H6" s="33">
        <f>G6+F6</f>
        <v>43103</v>
      </c>
      <c r="I6" s="34"/>
      <c r="J6" s="34"/>
      <c r="K6" s="29"/>
      <c r="L6" s="29"/>
      <c r="M6" s="29"/>
      <c r="N6" s="35">
        <v>0</v>
      </c>
      <c r="O6" s="29" t="s">
        <v>40</v>
      </c>
      <c r="P6" s="34">
        <v>43102</v>
      </c>
      <c r="Q6" s="34">
        <v>43103</v>
      </c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</row>
    <row r="7" spans="1:200" x14ac:dyDescent="0.2">
      <c r="B7" s="18"/>
      <c r="C7" s="29" t="s">
        <v>28</v>
      </c>
      <c r="D7" s="36"/>
      <c r="E7" s="31">
        <v>1</v>
      </c>
      <c r="F7" s="32">
        <v>0</v>
      </c>
      <c r="G7" s="33">
        <f t="shared" si="3"/>
        <v>43103</v>
      </c>
      <c r="H7" s="33">
        <f t="shared" ref="H7:H35" si="4">G7+F7</f>
        <v>43103</v>
      </c>
      <c r="I7" s="34"/>
      <c r="J7" s="34"/>
      <c r="K7" s="29"/>
      <c r="L7" s="29"/>
      <c r="M7" s="29"/>
      <c r="N7" s="35">
        <v>0</v>
      </c>
      <c r="O7" s="29" t="s">
        <v>26</v>
      </c>
      <c r="P7" s="34">
        <v>43103</v>
      </c>
      <c r="Q7" s="34">
        <v>43103</v>
      </c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</row>
    <row r="8" spans="1:200" x14ac:dyDescent="0.2">
      <c r="B8" s="18"/>
      <c r="C8" s="29" t="s">
        <v>30</v>
      </c>
      <c r="D8" s="29"/>
      <c r="E8" s="31">
        <v>1</v>
      </c>
      <c r="F8" s="32">
        <v>0</v>
      </c>
      <c r="G8" s="33">
        <f t="shared" si="3"/>
        <v>43103</v>
      </c>
      <c r="H8" s="33">
        <f t="shared" si="4"/>
        <v>43103</v>
      </c>
      <c r="I8" s="34"/>
      <c r="J8" s="34"/>
      <c r="K8" s="29"/>
      <c r="L8" s="29"/>
      <c r="M8" s="29"/>
      <c r="N8" s="35">
        <v>0</v>
      </c>
      <c r="O8" s="29" t="s">
        <v>27</v>
      </c>
      <c r="P8" s="34">
        <v>43103</v>
      </c>
      <c r="Q8" s="34">
        <v>43103</v>
      </c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</row>
    <row r="9" spans="1:200" x14ac:dyDescent="0.2">
      <c r="B9" s="18"/>
      <c r="C9" s="18" t="s">
        <v>32</v>
      </c>
      <c r="D9" s="18"/>
      <c r="E9" s="19">
        <v>1</v>
      </c>
      <c r="F9" s="20">
        <v>10</v>
      </c>
      <c r="G9" s="21">
        <f t="shared" si="3"/>
        <v>43104</v>
      </c>
      <c r="H9" s="21">
        <f t="shared" si="4"/>
        <v>43114</v>
      </c>
      <c r="I9" s="22"/>
      <c r="J9" s="22"/>
      <c r="K9" s="18"/>
      <c r="L9" s="18"/>
      <c r="M9" s="18"/>
      <c r="N9" s="23">
        <v>1</v>
      </c>
      <c r="O9" s="18" t="s">
        <v>29</v>
      </c>
      <c r="P9" s="22">
        <v>43104</v>
      </c>
      <c r="Q9" s="22">
        <v>43114</v>
      </c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</row>
    <row r="10" spans="1:200" x14ac:dyDescent="0.2">
      <c r="B10" s="18"/>
      <c r="C10" s="18" t="s">
        <v>33</v>
      </c>
      <c r="D10" s="18"/>
      <c r="E10" s="19">
        <v>0.5</v>
      </c>
      <c r="F10" s="20">
        <v>0</v>
      </c>
      <c r="G10" s="21">
        <f t="shared" si="3"/>
        <v>43114</v>
      </c>
      <c r="H10" s="21">
        <f t="shared" si="4"/>
        <v>43114</v>
      </c>
      <c r="I10" s="22"/>
      <c r="J10" s="22"/>
      <c r="K10" s="18"/>
      <c r="L10" s="18"/>
      <c r="M10" s="18"/>
      <c r="N10" s="23">
        <v>1</v>
      </c>
      <c r="O10" s="18" t="s">
        <v>31</v>
      </c>
      <c r="P10" s="22">
        <v>43114</v>
      </c>
      <c r="Q10" s="22">
        <v>43114</v>
      </c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</row>
    <row r="11" spans="1:200" x14ac:dyDescent="0.2">
      <c r="B11" s="18"/>
      <c r="C11" s="24" t="s">
        <v>51</v>
      </c>
      <c r="D11" s="18"/>
      <c r="E11" s="19">
        <v>0</v>
      </c>
      <c r="F11" s="20">
        <v>10</v>
      </c>
      <c r="G11" s="21">
        <f t="shared" si="3"/>
        <v>43171</v>
      </c>
      <c r="H11" s="21">
        <f t="shared" si="4"/>
        <v>43181</v>
      </c>
      <c r="I11" s="22"/>
      <c r="J11" s="22"/>
      <c r="K11" s="18"/>
      <c r="L11" s="18"/>
      <c r="M11" s="18"/>
      <c r="N11" s="23">
        <v>1</v>
      </c>
      <c r="O11" s="18" t="s">
        <v>60</v>
      </c>
      <c r="P11" s="22">
        <v>43124</v>
      </c>
      <c r="Q11" s="22">
        <v>43129</v>
      </c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</row>
    <row r="12" spans="1:200" x14ac:dyDescent="0.2">
      <c r="B12" s="18"/>
      <c r="C12" s="24" t="s">
        <v>53</v>
      </c>
      <c r="D12" s="18"/>
      <c r="E12" s="19">
        <v>1</v>
      </c>
      <c r="F12" s="20">
        <v>10</v>
      </c>
      <c r="G12" s="21">
        <f t="shared" si="3"/>
        <v>43182</v>
      </c>
      <c r="H12" s="21">
        <f t="shared" si="4"/>
        <v>43192</v>
      </c>
      <c r="I12" s="22"/>
      <c r="J12" s="22"/>
      <c r="K12" s="18"/>
      <c r="L12" s="18"/>
      <c r="M12" s="18"/>
      <c r="N12" s="23">
        <v>1</v>
      </c>
      <c r="O12" s="18" t="s">
        <v>50</v>
      </c>
      <c r="P12" s="22">
        <v>43130</v>
      </c>
      <c r="Q12" s="22">
        <v>43136</v>
      </c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</row>
    <row r="13" spans="1:200" x14ac:dyDescent="0.2">
      <c r="B13" s="18"/>
      <c r="C13" s="29" t="s">
        <v>54</v>
      </c>
      <c r="D13" s="29"/>
      <c r="E13" s="31">
        <v>1</v>
      </c>
      <c r="F13" s="32">
        <v>0</v>
      </c>
      <c r="G13" s="33">
        <f t="shared" si="3"/>
        <v>43192</v>
      </c>
      <c r="H13" s="33">
        <f t="shared" si="4"/>
        <v>43192</v>
      </c>
      <c r="I13" s="34"/>
      <c r="J13" s="34"/>
      <c r="K13" s="29"/>
      <c r="L13" s="29"/>
      <c r="M13" s="29"/>
      <c r="N13" s="35"/>
      <c r="O13" s="29" t="s">
        <v>52</v>
      </c>
      <c r="P13" s="34">
        <v>43136</v>
      </c>
      <c r="Q13" s="34">
        <v>43136</v>
      </c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</row>
    <row r="14" spans="1:200" x14ac:dyDescent="0.2">
      <c r="B14" s="18"/>
      <c r="C14" s="24" t="s">
        <v>56</v>
      </c>
      <c r="D14" s="18"/>
      <c r="E14" s="19">
        <v>1</v>
      </c>
      <c r="F14" s="20">
        <v>5</v>
      </c>
      <c r="G14" s="21">
        <f t="shared" si="3"/>
        <v>43115</v>
      </c>
      <c r="H14" s="21">
        <f t="shared" si="4"/>
        <v>43120</v>
      </c>
      <c r="I14" s="22"/>
      <c r="J14" s="22"/>
      <c r="K14" s="18"/>
      <c r="L14" s="18"/>
      <c r="M14" s="18"/>
      <c r="N14" s="23">
        <v>0.12</v>
      </c>
      <c r="O14" s="18" t="s">
        <v>31</v>
      </c>
      <c r="P14" s="22">
        <v>43115</v>
      </c>
      <c r="Q14" s="22">
        <v>43116</v>
      </c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</row>
    <row r="15" spans="1:200" x14ac:dyDescent="0.2">
      <c r="B15" s="18"/>
      <c r="C15" s="24" t="s">
        <v>58</v>
      </c>
      <c r="D15" s="18"/>
      <c r="E15" s="19">
        <v>0.5</v>
      </c>
      <c r="F15" s="20">
        <v>6</v>
      </c>
      <c r="G15" s="21">
        <f t="shared" si="3"/>
        <v>43121</v>
      </c>
      <c r="H15" s="21">
        <f t="shared" si="4"/>
        <v>43127</v>
      </c>
      <c r="I15" s="22"/>
      <c r="J15" s="22"/>
      <c r="K15" s="18"/>
      <c r="L15" s="18"/>
      <c r="M15" s="18"/>
      <c r="N15" s="23">
        <v>0.5</v>
      </c>
      <c r="O15" s="18" t="s">
        <v>55</v>
      </c>
      <c r="P15" s="22">
        <v>43117</v>
      </c>
      <c r="Q15" s="22">
        <v>43119</v>
      </c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</row>
    <row r="16" spans="1:200" x14ac:dyDescent="0.2">
      <c r="B16" s="18"/>
      <c r="C16" s="24" t="s">
        <v>59</v>
      </c>
      <c r="D16" s="18"/>
      <c r="E16" s="19">
        <v>0</v>
      </c>
      <c r="F16" s="20">
        <v>5</v>
      </c>
      <c r="G16" s="21">
        <f t="shared" si="3"/>
        <v>43128</v>
      </c>
      <c r="H16" s="21">
        <f t="shared" si="4"/>
        <v>43133</v>
      </c>
      <c r="I16" s="22"/>
      <c r="J16" s="22"/>
      <c r="K16" s="18"/>
      <c r="L16" s="18"/>
      <c r="M16" s="18"/>
      <c r="N16" s="23">
        <v>0.6</v>
      </c>
      <c r="O16" s="18" t="s">
        <v>57</v>
      </c>
      <c r="P16" s="22">
        <v>43120</v>
      </c>
      <c r="Q16" s="22">
        <v>43123</v>
      </c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</row>
    <row r="17" spans="2:174" x14ac:dyDescent="0.2">
      <c r="B17" s="18"/>
      <c r="C17" s="18" t="s">
        <v>41</v>
      </c>
      <c r="D17" s="18"/>
      <c r="E17" s="19"/>
      <c r="F17" s="20">
        <v>0</v>
      </c>
      <c r="G17" s="21">
        <v>43101</v>
      </c>
      <c r="H17" s="21">
        <f>G17+F17</f>
        <v>43101</v>
      </c>
      <c r="I17" s="22"/>
      <c r="J17" s="22"/>
      <c r="K17" s="18"/>
      <c r="L17" s="18"/>
      <c r="M17" s="18"/>
      <c r="N17" s="23">
        <v>0.9</v>
      </c>
      <c r="O17" s="18"/>
      <c r="P17" s="22">
        <v>43101</v>
      </c>
      <c r="Q17" s="22">
        <v>43101</v>
      </c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">
      <c r="B18" s="18"/>
      <c r="C18" s="18" t="s">
        <v>43</v>
      </c>
      <c r="D18" s="18"/>
      <c r="E18" s="19">
        <v>0.5</v>
      </c>
      <c r="F18" s="20">
        <v>5</v>
      </c>
      <c r="G18" s="21">
        <v>43159</v>
      </c>
      <c r="H18" s="21">
        <f t="shared" si="4"/>
        <v>43164</v>
      </c>
      <c r="I18" s="22"/>
      <c r="J18" s="22"/>
      <c r="K18" s="18"/>
      <c r="L18" s="18"/>
      <c r="M18" s="18"/>
      <c r="N18" s="23">
        <v>0.8</v>
      </c>
      <c r="O18" s="18"/>
      <c r="P18" s="22"/>
      <c r="Q18" s="22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">
      <c r="B19" s="18"/>
      <c r="C19" s="18" t="s">
        <v>45</v>
      </c>
      <c r="D19" s="18"/>
      <c r="E19" s="19">
        <v>0.5</v>
      </c>
      <c r="F19" s="20">
        <v>0</v>
      </c>
      <c r="G19" s="21">
        <f t="shared" ref="G19:G35" si="5">IF(F19=0,VLOOKUP(O19,$C$6:$O$36,6,FALSE),VLOOKUP(O19,$C$6:$O$36,6,FALSE)+1)</f>
        <v>43164</v>
      </c>
      <c r="H19" s="21">
        <f t="shared" si="4"/>
        <v>43164</v>
      </c>
      <c r="I19" s="22"/>
      <c r="J19" s="22"/>
      <c r="K19" s="18"/>
      <c r="L19" s="18"/>
      <c r="M19" s="18"/>
      <c r="N19" s="23">
        <v>0.4</v>
      </c>
      <c r="O19" s="18" t="s">
        <v>42</v>
      </c>
      <c r="P19" s="22"/>
      <c r="Q19" s="22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">
      <c r="B20" s="18"/>
      <c r="C20" s="18" t="s">
        <v>47</v>
      </c>
      <c r="D20" s="18"/>
      <c r="E20" s="19">
        <v>1</v>
      </c>
      <c r="F20" s="20">
        <v>0</v>
      </c>
      <c r="G20" s="21">
        <f t="shared" si="5"/>
        <v>43164</v>
      </c>
      <c r="H20" s="21">
        <f t="shared" si="4"/>
        <v>43164</v>
      </c>
      <c r="I20" s="22"/>
      <c r="J20" s="22"/>
      <c r="K20" s="18"/>
      <c r="L20" s="18"/>
      <c r="M20" s="18"/>
      <c r="N20" s="23">
        <v>1</v>
      </c>
      <c r="O20" s="18" t="s">
        <v>44</v>
      </c>
      <c r="P20" s="22"/>
      <c r="Q20" s="22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">
      <c r="B21" s="18"/>
      <c r="C21" s="18" t="s">
        <v>49</v>
      </c>
      <c r="D21" s="18"/>
      <c r="E21" s="19">
        <v>0.8</v>
      </c>
      <c r="F21" s="20">
        <v>0</v>
      </c>
      <c r="G21" s="21">
        <f t="shared" si="5"/>
        <v>43164</v>
      </c>
      <c r="H21" s="21">
        <f t="shared" si="4"/>
        <v>43164</v>
      </c>
      <c r="I21" s="22"/>
      <c r="J21" s="22"/>
      <c r="K21" s="18"/>
      <c r="L21" s="18"/>
      <c r="M21" s="18"/>
      <c r="N21" s="23">
        <v>1</v>
      </c>
      <c r="O21" s="18" t="s">
        <v>46</v>
      </c>
      <c r="P21" s="22"/>
      <c r="Q21" s="22" t="s">
        <v>83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">
      <c r="B22" s="18"/>
      <c r="C22" s="24" t="s">
        <v>61</v>
      </c>
      <c r="D22" s="18"/>
      <c r="E22" s="19">
        <v>1</v>
      </c>
      <c r="F22" s="20">
        <v>5</v>
      </c>
      <c r="G22" s="21">
        <f t="shared" si="5"/>
        <v>43165</v>
      </c>
      <c r="H22" s="21">
        <f t="shared" si="4"/>
        <v>43170</v>
      </c>
      <c r="I22" s="22"/>
      <c r="J22" s="22"/>
      <c r="K22" s="18"/>
      <c r="L22" s="18"/>
      <c r="M22" s="18"/>
      <c r="N22" s="23">
        <v>1</v>
      </c>
      <c r="O22" s="18" t="s">
        <v>48</v>
      </c>
      <c r="P22" s="22"/>
      <c r="Q22" s="22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">
      <c r="B23" s="18"/>
      <c r="C23" s="24" t="s">
        <v>62</v>
      </c>
      <c r="D23" s="18"/>
      <c r="E23" s="19"/>
      <c r="F23" s="20"/>
      <c r="G23" s="21">
        <f t="shared" si="5"/>
        <v>43170</v>
      </c>
      <c r="H23" s="21">
        <f t="shared" si="4"/>
        <v>43170</v>
      </c>
      <c r="I23" s="22"/>
      <c r="J23" s="22"/>
      <c r="K23" s="18"/>
      <c r="L23" s="18"/>
      <c r="M23" s="18"/>
      <c r="N23" s="23"/>
      <c r="O23" s="18" t="s">
        <v>60</v>
      </c>
      <c r="P23" s="22"/>
      <c r="Q23" s="22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">
      <c r="B24" s="18"/>
      <c r="C24" s="18" t="s">
        <v>63</v>
      </c>
      <c r="D24" s="18"/>
      <c r="E24" s="19"/>
      <c r="F24" s="20"/>
      <c r="G24" s="21" t="e">
        <f t="shared" si="5"/>
        <v>#N/A</v>
      </c>
      <c r="H24" s="21" t="e">
        <f t="shared" si="4"/>
        <v>#N/A</v>
      </c>
      <c r="I24" s="22"/>
      <c r="J24" s="22"/>
      <c r="K24" s="18"/>
      <c r="L24" s="18"/>
      <c r="M24" s="18"/>
      <c r="N24" s="23"/>
      <c r="O24" s="18"/>
      <c r="P24" s="22"/>
      <c r="Q24" s="22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">
      <c r="B25" s="18"/>
      <c r="C25" s="24" t="s">
        <v>64</v>
      </c>
      <c r="D25" s="18"/>
      <c r="E25" s="19"/>
      <c r="F25" s="20"/>
      <c r="G25" s="21" t="e">
        <f t="shared" si="5"/>
        <v>#N/A</v>
      </c>
      <c r="H25" s="21" t="e">
        <f t="shared" si="4"/>
        <v>#N/A</v>
      </c>
      <c r="I25" s="22"/>
      <c r="J25" s="22"/>
      <c r="K25" s="18"/>
      <c r="L25" s="18"/>
      <c r="M25" s="18"/>
      <c r="N25" s="23"/>
      <c r="O25" s="18"/>
      <c r="P25" s="22"/>
      <c r="Q25" s="22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">
      <c r="B26" s="18"/>
      <c r="C26" s="24" t="s">
        <v>65</v>
      </c>
      <c r="D26" s="18"/>
      <c r="E26" s="19"/>
      <c r="F26" s="20"/>
      <c r="G26" s="21" t="e">
        <f t="shared" si="5"/>
        <v>#N/A</v>
      </c>
      <c r="H26" s="21" t="e">
        <f t="shared" si="4"/>
        <v>#N/A</v>
      </c>
      <c r="I26" s="22"/>
      <c r="J26" s="22"/>
      <c r="K26" s="18"/>
      <c r="L26" s="18"/>
      <c r="M26" s="18"/>
      <c r="N26" s="23"/>
      <c r="O26" s="18"/>
      <c r="P26" s="22"/>
      <c r="Q26" s="22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</row>
    <row r="27" spans="2:174" x14ac:dyDescent="0.2">
      <c r="B27" s="18"/>
      <c r="C27" s="24" t="s">
        <v>66</v>
      </c>
      <c r="D27" s="18"/>
      <c r="E27" s="19"/>
      <c r="F27" s="20"/>
      <c r="G27" s="21" t="e">
        <f t="shared" si="5"/>
        <v>#N/A</v>
      </c>
      <c r="H27" s="21" t="e">
        <f t="shared" si="4"/>
        <v>#N/A</v>
      </c>
      <c r="I27" s="22"/>
      <c r="J27" s="22"/>
      <c r="K27" s="18"/>
      <c r="L27" s="18"/>
      <c r="M27" s="18"/>
      <c r="N27" s="23"/>
      <c r="O27" s="18"/>
      <c r="P27" s="22"/>
      <c r="Q27" s="22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</row>
    <row r="28" spans="2:174" x14ac:dyDescent="0.2">
      <c r="B28" s="18"/>
      <c r="C28" s="18" t="s">
        <v>75</v>
      </c>
      <c r="D28" s="18"/>
      <c r="E28" s="19"/>
      <c r="F28" s="20"/>
      <c r="G28" s="21" t="e">
        <f t="shared" si="5"/>
        <v>#N/A</v>
      </c>
      <c r="H28" s="21" t="e">
        <f t="shared" si="4"/>
        <v>#N/A</v>
      </c>
      <c r="I28" s="22"/>
      <c r="J28" s="22"/>
      <c r="K28" s="18"/>
      <c r="L28" s="18"/>
      <c r="M28" s="18"/>
      <c r="N28" s="23"/>
      <c r="O28" s="18"/>
      <c r="P28" s="22"/>
      <c r="Q28" s="22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</row>
    <row r="29" spans="2:174" x14ac:dyDescent="0.2">
      <c r="B29" s="18"/>
      <c r="C29" s="18" t="s">
        <v>76</v>
      </c>
      <c r="D29" s="18"/>
      <c r="E29" s="19"/>
      <c r="F29" s="20"/>
      <c r="G29" s="21" t="e">
        <f t="shared" si="5"/>
        <v>#N/A</v>
      </c>
      <c r="H29" s="21" t="e">
        <f t="shared" si="4"/>
        <v>#N/A</v>
      </c>
      <c r="I29" s="22"/>
      <c r="J29" s="22"/>
      <c r="K29" s="18"/>
      <c r="L29" s="18"/>
      <c r="M29" s="18"/>
      <c r="N29" s="23"/>
      <c r="O29" s="18"/>
      <c r="P29" s="22"/>
      <c r="Q29" s="22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</row>
    <row r="30" spans="2:174" x14ac:dyDescent="0.2">
      <c r="B30" s="18"/>
      <c r="C30" s="18" t="s">
        <v>77</v>
      </c>
      <c r="D30" s="18"/>
      <c r="E30" s="19"/>
      <c r="F30" s="20"/>
      <c r="G30" s="21" t="e">
        <f t="shared" si="5"/>
        <v>#N/A</v>
      </c>
      <c r="H30" s="21" t="e">
        <f t="shared" si="4"/>
        <v>#N/A</v>
      </c>
      <c r="I30" s="22"/>
      <c r="J30" s="22"/>
      <c r="K30" s="18"/>
      <c r="L30" s="18"/>
      <c r="M30" s="18"/>
      <c r="N30" s="23"/>
      <c r="O30" s="18"/>
      <c r="P30" s="22"/>
      <c r="Q30" s="22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</row>
    <row r="31" spans="2:174" x14ac:dyDescent="0.2">
      <c r="B31" s="18"/>
      <c r="C31" s="18" t="s">
        <v>78</v>
      </c>
      <c r="D31" s="18"/>
      <c r="E31" s="19"/>
      <c r="F31" s="20"/>
      <c r="G31" s="21" t="e">
        <f t="shared" si="5"/>
        <v>#N/A</v>
      </c>
      <c r="H31" s="21" t="e">
        <f t="shared" si="4"/>
        <v>#N/A</v>
      </c>
      <c r="I31" s="22"/>
      <c r="J31" s="22"/>
      <c r="K31" s="18"/>
      <c r="L31" s="18"/>
      <c r="M31" s="18"/>
      <c r="N31" s="23"/>
      <c r="O31" s="18"/>
      <c r="P31" s="22"/>
      <c r="Q31" s="22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</row>
    <row r="32" spans="2:174" x14ac:dyDescent="0.2">
      <c r="B32" s="18"/>
      <c r="C32" s="18" t="s">
        <v>79</v>
      </c>
      <c r="D32" s="18"/>
      <c r="E32" s="19"/>
      <c r="F32" s="20"/>
      <c r="G32" s="21" t="e">
        <f t="shared" si="5"/>
        <v>#N/A</v>
      </c>
      <c r="H32" s="21" t="e">
        <f t="shared" si="4"/>
        <v>#N/A</v>
      </c>
      <c r="I32" s="22"/>
      <c r="J32" s="22"/>
      <c r="K32" s="18"/>
      <c r="L32" s="18"/>
      <c r="M32" s="18"/>
      <c r="N32" s="23"/>
      <c r="O32" s="18"/>
      <c r="P32" s="22"/>
      <c r="Q32" s="22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</row>
    <row r="33" spans="2:174" x14ac:dyDescent="0.2">
      <c r="B33" s="18"/>
      <c r="C33" s="18" t="s">
        <v>80</v>
      </c>
      <c r="D33" s="18"/>
      <c r="E33" s="19"/>
      <c r="F33" s="20"/>
      <c r="G33" s="21" t="e">
        <f t="shared" si="5"/>
        <v>#N/A</v>
      </c>
      <c r="H33" s="21" t="e">
        <f t="shared" si="4"/>
        <v>#N/A</v>
      </c>
      <c r="I33" s="22"/>
      <c r="J33" s="22"/>
      <c r="K33" s="18"/>
      <c r="L33" s="18"/>
      <c r="M33" s="18"/>
      <c r="N33" s="23"/>
      <c r="O33" s="18"/>
      <c r="P33" s="22"/>
      <c r="Q33" s="22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</row>
    <row r="34" spans="2:174" x14ac:dyDescent="0.2">
      <c r="B34" s="18"/>
      <c r="C34" s="18" t="s">
        <v>81</v>
      </c>
      <c r="D34" s="18"/>
      <c r="E34" s="19"/>
      <c r="F34" s="20"/>
      <c r="G34" s="21" t="e">
        <f t="shared" si="5"/>
        <v>#N/A</v>
      </c>
      <c r="H34" s="21" t="e">
        <f t="shared" si="4"/>
        <v>#N/A</v>
      </c>
      <c r="I34" s="18"/>
      <c r="J34" s="18"/>
      <c r="K34" s="18"/>
      <c r="L34" s="18"/>
      <c r="M34" s="18"/>
      <c r="N34" s="23"/>
      <c r="O34" s="18"/>
      <c r="P34" s="18"/>
      <c r="Q34" s="18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</row>
    <row r="35" spans="2:174" x14ac:dyDescent="0.2">
      <c r="B35" s="18"/>
      <c r="C35" s="18" t="s">
        <v>82</v>
      </c>
      <c r="D35" s="18"/>
      <c r="E35" s="19"/>
      <c r="F35" s="20"/>
      <c r="G35" s="21" t="e">
        <f t="shared" si="5"/>
        <v>#N/A</v>
      </c>
      <c r="H35" s="21" t="e">
        <f t="shared" si="4"/>
        <v>#N/A</v>
      </c>
      <c r="I35" s="18"/>
      <c r="J35" s="18"/>
      <c r="K35" s="18"/>
      <c r="L35" s="18"/>
      <c r="M35" s="18"/>
      <c r="N35" s="23"/>
      <c r="O35" s="18"/>
      <c r="P35" s="18"/>
      <c r="Q35" s="18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</row>
    <row r="36" spans="2:174" x14ac:dyDescent="0.2">
      <c r="B36" s="18"/>
      <c r="C36" s="18" t="s">
        <v>86</v>
      </c>
      <c r="D36" s="18"/>
      <c r="E36" s="19"/>
      <c r="F36" s="20"/>
      <c r="G36" s="21" t="e">
        <f t="shared" ref="G36:G47" si="6">IF(F36=0,VLOOKUP(O36,$C$6:$O$36,6,FALSE),VLOOKUP(O36,$C$6:$O$36,6,FALSE)+1)</f>
        <v>#N/A</v>
      </c>
      <c r="H36" s="21" t="e">
        <f t="shared" ref="H36:H47" si="7">G36+F36</f>
        <v>#N/A</v>
      </c>
      <c r="I36" s="22"/>
      <c r="J36" s="22"/>
      <c r="K36" s="18"/>
      <c r="L36" s="18"/>
      <c r="M36" s="18"/>
      <c r="N36" s="23"/>
      <c r="O36" s="18"/>
      <c r="P36" s="22"/>
      <c r="Q36" s="22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  <c r="DI36" s="15"/>
      <c r="DJ36" s="15"/>
      <c r="DK36" s="15"/>
      <c r="DL36" s="15"/>
      <c r="DM36" s="15"/>
      <c r="DN36" s="15"/>
      <c r="DO36" s="15"/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5"/>
      <c r="EG36" s="15"/>
      <c r="EH36" s="15"/>
      <c r="EI36" s="15"/>
      <c r="EJ36" s="15"/>
      <c r="EK36" s="15"/>
      <c r="EL36" s="15"/>
      <c r="EM36" s="15"/>
      <c r="EN36" s="15"/>
      <c r="EO36" s="15"/>
      <c r="EP36" s="15"/>
      <c r="EQ36" s="15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</row>
    <row r="37" spans="2:174" x14ac:dyDescent="0.2">
      <c r="B37" s="18"/>
      <c r="C37" s="24" t="s">
        <v>87</v>
      </c>
      <c r="D37" s="18"/>
      <c r="E37" s="19"/>
      <c r="F37" s="20"/>
      <c r="G37" s="21" t="e">
        <f t="shared" si="6"/>
        <v>#N/A</v>
      </c>
      <c r="H37" s="21" t="e">
        <f t="shared" si="7"/>
        <v>#N/A</v>
      </c>
      <c r="I37" s="22"/>
      <c r="J37" s="22"/>
      <c r="K37" s="18"/>
      <c r="L37" s="18"/>
      <c r="M37" s="18"/>
      <c r="N37" s="23"/>
      <c r="O37" s="18"/>
      <c r="P37" s="22"/>
      <c r="Q37" s="22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5"/>
      <c r="FO37" s="15"/>
      <c r="FP37" s="15"/>
      <c r="FQ37" s="15"/>
      <c r="FR37" s="15"/>
    </row>
    <row r="38" spans="2:174" x14ac:dyDescent="0.2">
      <c r="B38" s="18"/>
      <c r="C38" s="24" t="s">
        <v>88</v>
      </c>
      <c r="D38" s="18"/>
      <c r="E38" s="19"/>
      <c r="F38" s="20"/>
      <c r="G38" s="21" t="e">
        <f t="shared" si="6"/>
        <v>#N/A</v>
      </c>
      <c r="H38" s="21" t="e">
        <f t="shared" si="7"/>
        <v>#N/A</v>
      </c>
      <c r="I38" s="22"/>
      <c r="J38" s="22"/>
      <c r="K38" s="18"/>
      <c r="L38" s="18"/>
      <c r="M38" s="18"/>
      <c r="N38" s="23"/>
      <c r="O38" s="18"/>
      <c r="P38" s="22"/>
      <c r="Q38" s="22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</row>
    <row r="39" spans="2:174" x14ac:dyDescent="0.2">
      <c r="B39" s="18"/>
      <c r="C39" s="24" t="s">
        <v>89</v>
      </c>
      <c r="D39" s="18"/>
      <c r="E39" s="19"/>
      <c r="F39" s="20"/>
      <c r="G39" s="21" t="e">
        <f t="shared" si="6"/>
        <v>#N/A</v>
      </c>
      <c r="H39" s="21" t="e">
        <f t="shared" si="7"/>
        <v>#N/A</v>
      </c>
      <c r="I39" s="22"/>
      <c r="J39" s="22"/>
      <c r="K39" s="18"/>
      <c r="L39" s="18"/>
      <c r="M39" s="18"/>
      <c r="N39" s="23"/>
      <c r="O39" s="18"/>
      <c r="P39" s="22"/>
      <c r="Q39" s="22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15"/>
      <c r="EE39" s="15"/>
      <c r="EF39" s="15"/>
      <c r="EG39" s="15"/>
      <c r="EH39" s="15"/>
      <c r="EI39" s="15"/>
      <c r="EJ39" s="15"/>
      <c r="EK39" s="15"/>
      <c r="EL39" s="15"/>
      <c r="EM39" s="15"/>
      <c r="EN39" s="15"/>
      <c r="EO39" s="15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</row>
    <row r="40" spans="2:174" x14ac:dyDescent="0.2">
      <c r="B40" s="18"/>
      <c r="C40" s="18" t="s">
        <v>90</v>
      </c>
      <c r="D40" s="18"/>
      <c r="E40" s="19"/>
      <c r="F40" s="20"/>
      <c r="G40" s="21" t="e">
        <f t="shared" si="6"/>
        <v>#N/A</v>
      </c>
      <c r="H40" s="21" t="e">
        <f t="shared" si="7"/>
        <v>#N/A</v>
      </c>
      <c r="I40" s="22"/>
      <c r="J40" s="22"/>
      <c r="K40" s="18"/>
      <c r="L40" s="18"/>
      <c r="M40" s="18"/>
      <c r="N40" s="23"/>
      <c r="O40" s="18"/>
      <c r="P40" s="22"/>
      <c r="Q40" s="22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5"/>
      <c r="FO40" s="15"/>
      <c r="FP40" s="15"/>
      <c r="FQ40" s="15"/>
      <c r="FR40" s="15"/>
    </row>
    <row r="41" spans="2:174" x14ac:dyDescent="0.2">
      <c r="B41" s="18"/>
      <c r="C41" s="18" t="s">
        <v>91</v>
      </c>
      <c r="D41" s="18"/>
      <c r="E41" s="19"/>
      <c r="F41" s="20"/>
      <c r="G41" s="21" t="e">
        <f t="shared" si="6"/>
        <v>#N/A</v>
      </c>
      <c r="H41" s="21" t="e">
        <f t="shared" si="7"/>
        <v>#N/A</v>
      </c>
      <c r="I41" s="22"/>
      <c r="J41" s="22"/>
      <c r="K41" s="18"/>
      <c r="L41" s="18"/>
      <c r="M41" s="18"/>
      <c r="N41" s="23"/>
      <c r="O41" s="18"/>
      <c r="P41" s="22"/>
      <c r="Q41" s="22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25"/>
      <c r="AW41" s="17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  <c r="DL41" s="15"/>
      <c r="DM41" s="15"/>
      <c r="DN41" s="15"/>
      <c r="DO41" s="15"/>
      <c r="DP41" s="15"/>
      <c r="DQ41" s="15"/>
      <c r="DR41" s="15"/>
      <c r="DS41" s="15"/>
      <c r="DT41" s="15"/>
      <c r="DU41" s="15"/>
      <c r="DV41" s="15"/>
      <c r="DW41" s="15"/>
      <c r="DX41" s="15"/>
      <c r="DY41" s="15"/>
      <c r="DZ41" s="15"/>
      <c r="EA41" s="15"/>
      <c r="EB41" s="15"/>
      <c r="EC41" s="15"/>
      <c r="ED41" s="15"/>
      <c r="EE41" s="15"/>
      <c r="EF41" s="15"/>
      <c r="EG41" s="15"/>
      <c r="EH41" s="15"/>
      <c r="EI41" s="15"/>
      <c r="EJ41" s="15"/>
      <c r="EK41" s="15"/>
      <c r="EL41" s="15"/>
      <c r="EM41" s="15"/>
      <c r="EN41" s="15"/>
      <c r="EO41" s="15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5"/>
      <c r="FP41" s="15"/>
      <c r="FQ41" s="15"/>
      <c r="FR41" s="15"/>
    </row>
    <row r="42" spans="2:174" x14ac:dyDescent="0.2">
      <c r="B42" s="18"/>
      <c r="C42" s="18" t="s">
        <v>92</v>
      </c>
      <c r="D42" s="18"/>
      <c r="E42" s="19"/>
      <c r="F42" s="20"/>
      <c r="G42" s="21" t="e">
        <f t="shared" si="6"/>
        <v>#N/A</v>
      </c>
      <c r="H42" s="21" t="e">
        <f t="shared" si="7"/>
        <v>#N/A</v>
      </c>
      <c r="I42" s="22"/>
      <c r="J42" s="22"/>
      <c r="K42" s="18"/>
      <c r="L42" s="18"/>
      <c r="M42" s="18"/>
      <c r="N42" s="23"/>
      <c r="O42" s="18"/>
      <c r="P42" s="22"/>
      <c r="Q42" s="22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25"/>
      <c r="AW42" s="17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5"/>
      <c r="FO42" s="15"/>
      <c r="FP42" s="15"/>
      <c r="FQ42" s="15"/>
      <c r="FR42" s="15"/>
    </row>
    <row r="43" spans="2:174" x14ac:dyDescent="0.2">
      <c r="B43" s="18"/>
      <c r="C43" s="18" t="s">
        <v>93</v>
      </c>
      <c r="D43" s="18"/>
      <c r="E43" s="19"/>
      <c r="F43" s="20"/>
      <c r="G43" s="21" t="e">
        <f t="shared" si="6"/>
        <v>#N/A</v>
      </c>
      <c r="H43" s="21" t="e">
        <f t="shared" si="7"/>
        <v>#N/A</v>
      </c>
      <c r="I43" s="22"/>
      <c r="J43" s="22"/>
      <c r="K43" s="18"/>
      <c r="L43" s="18"/>
      <c r="M43" s="18"/>
      <c r="N43" s="23"/>
      <c r="O43" s="18"/>
      <c r="P43" s="22"/>
      <c r="Q43" s="22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25"/>
      <c r="AW43" s="17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</row>
    <row r="44" spans="2:174" x14ac:dyDescent="0.2">
      <c r="B44" s="18"/>
      <c r="C44" s="18" t="s">
        <v>94</v>
      </c>
      <c r="D44" s="18"/>
      <c r="E44" s="19"/>
      <c r="F44" s="20"/>
      <c r="G44" s="21" t="e">
        <f t="shared" si="6"/>
        <v>#N/A</v>
      </c>
      <c r="H44" s="21" t="e">
        <f t="shared" si="7"/>
        <v>#N/A</v>
      </c>
      <c r="I44" s="22"/>
      <c r="J44" s="22"/>
      <c r="K44" s="18"/>
      <c r="L44" s="18"/>
      <c r="M44" s="18"/>
      <c r="N44" s="23"/>
      <c r="O44" s="18"/>
      <c r="P44" s="22"/>
      <c r="Q44" s="22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25"/>
      <c r="AW44" s="17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  <c r="DL44" s="15"/>
      <c r="DM44" s="15"/>
      <c r="DN44" s="15"/>
      <c r="DO44" s="15"/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5"/>
      <c r="EL44" s="15"/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5"/>
      <c r="FO44" s="15"/>
      <c r="FP44" s="15"/>
      <c r="FQ44" s="15"/>
      <c r="FR44" s="15"/>
    </row>
    <row r="45" spans="2:174" x14ac:dyDescent="0.2">
      <c r="B45" s="18"/>
      <c r="C45" s="18" t="s">
        <v>95</v>
      </c>
      <c r="D45" s="18"/>
      <c r="E45" s="19"/>
      <c r="F45" s="20"/>
      <c r="G45" s="21" t="e">
        <f t="shared" si="6"/>
        <v>#N/A</v>
      </c>
      <c r="H45" s="21" t="e">
        <f t="shared" si="7"/>
        <v>#N/A</v>
      </c>
      <c r="I45" s="22"/>
      <c r="J45" s="22"/>
      <c r="K45" s="18"/>
      <c r="L45" s="18"/>
      <c r="M45" s="18"/>
      <c r="N45" s="23"/>
      <c r="O45" s="18"/>
      <c r="P45" s="22"/>
      <c r="Q45" s="22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25"/>
      <c r="AW45" s="17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</row>
    <row r="46" spans="2:174" x14ac:dyDescent="0.2">
      <c r="B46" s="18"/>
      <c r="C46" s="18" t="s">
        <v>96</v>
      </c>
      <c r="D46" s="18"/>
      <c r="E46" s="19"/>
      <c r="F46" s="20"/>
      <c r="G46" s="21" t="e">
        <f t="shared" si="6"/>
        <v>#N/A</v>
      </c>
      <c r="H46" s="21" t="e">
        <f t="shared" si="7"/>
        <v>#N/A</v>
      </c>
      <c r="I46" s="18"/>
      <c r="J46" s="18"/>
      <c r="K46" s="18"/>
      <c r="L46" s="18"/>
      <c r="M46" s="18"/>
      <c r="N46" s="23"/>
      <c r="O46" s="18"/>
      <c r="P46" s="18"/>
      <c r="Q46" s="18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25"/>
      <c r="AW46" s="17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  <c r="EE46" s="15"/>
      <c r="EF46" s="15"/>
      <c r="EG46" s="15"/>
      <c r="EH46" s="15"/>
      <c r="EI46" s="15"/>
      <c r="EJ46" s="15"/>
      <c r="EK46" s="15"/>
      <c r="EL46" s="15"/>
      <c r="EM46" s="15"/>
      <c r="EN46" s="15"/>
      <c r="EO46" s="15"/>
      <c r="EP46" s="15"/>
      <c r="EQ46" s="15"/>
      <c r="ER46" s="15"/>
      <c r="ES46" s="15"/>
      <c r="ET46" s="15"/>
      <c r="EU46" s="15"/>
      <c r="EV46" s="15"/>
      <c r="EW46" s="15"/>
      <c r="EX46" s="15"/>
      <c r="EY46" s="15"/>
      <c r="EZ46" s="15"/>
      <c r="FA46" s="15"/>
      <c r="FB46" s="15"/>
      <c r="FC46" s="15"/>
      <c r="FD46" s="15"/>
      <c r="FE46" s="15"/>
      <c r="FF46" s="15"/>
      <c r="FG46" s="15"/>
      <c r="FH46" s="15"/>
      <c r="FI46" s="15"/>
      <c r="FJ46" s="15"/>
      <c r="FK46" s="15"/>
      <c r="FL46" s="15"/>
      <c r="FM46" s="15"/>
      <c r="FN46" s="15"/>
      <c r="FO46" s="15"/>
      <c r="FP46" s="15"/>
      <c r="FQ46" s="15"/>
      <c r="FR46" s="15"/>
    </row>
    <row r="47" spans="2:174" x14ac:dyDescent="0.2">
      <c r="B47" s="18"/>
      <c r="C47" s="18" t="s">
        <v>97</v>
      </c>
      <c r="D47" s="18"/>
      <c r="E47" s="19"/>
      <c r="F47" s="20"/>
      <c r="G47" s="21" t="e">
        <f t="shared" si="6"/>
        <v>#N/A</v>
      </c>
      <c r="H47" s="21" t="e">
        <f t="shared" si="7"/>
        <v>#N/A</v>
      </c>
      <c r="I47" s="18"/>
      <c r="J47" s="18"/>
      <c r="K47" s="18"/>
      <c r="L47" s="18"/>
      <c r="M47" s="18"/>
      <c r="N47" s="23"/>
      <c r="O47" s="18"/>
      <c r="P47" s="18"/>
      <c r="Q47" s="18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25"/>
      <c r="AW47" s="17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</row>
    <row r="48" spans="2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39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  <row r="51" spans="18:174" x14ac:dyDescent="0.2"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</row>
    <row r="52" spans="18:174" x14ac:dyDescent="0.2"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</row>
  </sheetData>
  <mergeCells count="5">
    <mergeCell ref="S3:AV3"/>
    <mergeCell ref="AW3:BX3"/>
    <mergeCell ref="BY3:DB3"/>
    <mergeCell ref="DC3:EG3"/>
    <mergeCell ref="EH3:FL3"/>
  </mergeCells>
  <phoneticPr fontId="1" type="noConversion"/>
  <conditionalFormatting sqref="N6:N35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6:E35">
    <cfRule type="dataBar" priority="8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{DF7DEC3D-64A8-4A54-AE62-63443096F036}</x14:id>
        </ext>
      </extLst>
    </cfRule>
  </conditionalFormatting>
  <conditionalFormatting sqref="R5:GR5">
    <cfRule type="cellIs" dxfId="3" priority="5" operator="equal">
      <formula>"日"</formula>
    </cfRule>
    <cfRule type="cellIs" dxfId="2" priority="6" operator="equal">
      <formula>"六"</formula>
    </cfRule>
  </conditionalFormatting>
  <conditionalFormatting sqref="N36:N4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{47CA336F-2EFF-4456-8FA7-13CAB6C23BF4}</x14:id>
        </ext>
      </extLst>
    </cfRule>
  </conditionalFormatting>
  <conditionalFormatting sqref="E36:E47">
    <cfRule type="dataBar" priority="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{800D8059-622C-420F-85D5-451686CECDC5}</x14:id>
        </ext>
      </extLst>
    </cfRule>
  </conditionalFormatting>
  <dataValidations count="1">
    <dataValidation type="list" allowBlank="1" showInputMessage="1" showErrorMessage="1" sqref="O6:O47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2</xdr:col>
                    <xdr:colOff>238125</xdr:colOff>
                    <xdr:row>2</xdr:row>
                    <xdr:rowOff>28575</xdr:rowOff>
                  </from>
                  <to>
                    <xdr:col>2</xdr:col>
                    <xdr:colOff>1228725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N6:N35</xm:sqref>
        </x14:conditionalFormatting>
        <x14:conditionalFormatting xmlns:xm="http://schemas.microsoft.com/office/excel/2006/main">
          <x14:cfRule type="dataBar" id="{DF7DEC3D-64A8-4A54-AE62-63443096F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E6:E35</xm:sqref>
        </x14:conditionalFormatting>
        <x14:conditionalFormatting xmlns:xm="http://schemas.microsoft.com/office/excel/2006/main">
          <x14:cfRule type="dataBar" id="{47CA336F-2EFF-4456-8FA7-13CAB6C23B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N36:N47</xm:sqref>
        </x14:conditionalFormatting>
        <x14:conditionalFormatting xmlns:xm="http://schemas.microsoft.com/office/excel/2006/main">
          <x14:cfRule type="dataBar" id="{800D8059-622C-420F-85D5-451686CECD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67</v>
      </c>
      <c r="D3" t="s">
        <v>70</v>
      </c>
      <c r="G3" t="s">
        <v>21</v>
      </c>
      <c r="I3" t="s">
        <v>71</v>
      </c>
      <c r="J3" s="7"/>
      <c r="K3" t="s">
        <v>72</v>
      </c>
      <c r="L3" s="11"/>
    </row>
    <row r="4" spans="1:174" x14ac:dyDescent="0.2">
      <c r="B4" t="s">
        <v>16</v>
      </c>
      <c r="C4" s="1">
        <v>43128</v>
      </c>
      <c r="D4" s="1">
        <v>43134</v>
      </c>
      <c r="G4" t="s">
        <v>22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23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24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25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34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35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36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37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38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39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G23" sqref="G23"/>
    </sheetView>
  </sheetViews>
  <sheetFormatPr defaultRowHeight="14.25" x14ac:dyDescent="0.2"/>
  <cols>
    <col min="1" max="1" width="3.25" customWidth="1"/>
  </cols>
  <sheetData>
    <row r="2" spans="2:14" x14ac:dyDescent="0.2">
      <c r="B2" t="s">
        <v>68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10"/>
    </row>
    <row r="20" spans="10:10" x14ac:dyDescent="0.2">
      <c r="J20" s="10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2018-01-31T14:31:14Z</dcterms:modified>
</cp:coreProperties>
</file>