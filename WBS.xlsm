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930" yWindow="0" windowWidth="28800" windowHeight="12300"/>
  </bookViews>
  <sheets>
    <sheet name="WBS" sheetId="1" r:id="rId1"/>
    <sheet name="Data" sheetId="2" r:id="rId2"/>
    <sheet name="Sheet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0" i="1" l="1"/>
  <c r="T4" i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7" i="1"/>
  <c r="GW5" i="1" l="1"/>
  <c r="GX5" i="1"/>
  <c r="GV5" i="1"/>
  <c r="GU5" i="1"/>
  <c r="U5" i="1" l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S5" i="1"/>
  <c r="GT5" i="1"/>
  <c r="T5" i="1"/>
  <c r="C7" i="2" l="1"/>
  <c r="D2" i="2" s="1"/>
  <c r="C2" i="2"/>
  <c r="H8" i="1" l="1"/>
  <c r="G9" i="1" s="1"/>
  <c r="H9" i="1" s="1"/>
  <c r="G10" i="1" s="1"/>
  <c r="H10" i="1" s="1"/>
  <c r="G11" i="1" s="1"/>
  <c r="H11" i="1" s="1"/>
  <c r="G13" i="1" s="1"/>
  <c r="H13" i="1" s="1"/>
  <c r="G14" i="1" s="1"/>
  <c r="H14" i="1" s="1"/>
  <c r="G16" i="1" s="1"/>
  <c r="H16" i="1" l="1"/>
  <c r="G17" i="1" s="1"/>
  <c r="H17" i="1" l="1"/>
  <c r="G18" i="1" s="1"/>
  <c r="H18" i="1" l="1"/>
  <c r="G19" i="1" s="1"/>
  <c r="H19" i="1" l="1"/>
  <c r="G22" i="1" s="1"/>
  <c r="H22" i="1" l="1"/>
  <c r="G23" i="1" s="1"/>
  <c r="H23" i="1" l="1"/>
  <c r="G24" i="1" l="1"/>
  <c r="H24" i="1" s="1"/>
  <c r="G26" i="1" l="1"/>
  <c r="H26" i="1" s="1"/>
  <c r="G27" i="1" s="1"/>
  <c r="H27" i="1" s="1"/>
  <c r="G28" i="1" s="1"/>
  <c r="H28" i="1" s="1"/>
</calcChain>
</file>

<file path=xl/sharedStrings.xml><?xml version="1.0" encoding="utf-8"?>
<sst xmlns="http://schemas.openxmlformats.org/spreadsheetml/2006/main" count="110" uniqueCount="83">
  <si>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</si>
  <si>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</si>
  <si>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</si>
  <si>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</si>
  <si>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</si>
  <si>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</si>
  <si>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</si>
  <si>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</si>
  <si>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</si>
  <si>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</si>
  <si>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</si>
  <si>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</si>
  <si>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</si>
  <si>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</si>
  <si>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</si>
  <si>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</si>
  <si>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</si>
  <si>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</si>
  <si>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</si>
  <si>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</si>
  <si>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学习VBA</t>
    <phoneticPr fontId="1" type="noConversion"/>
  </si>
  <si>
    <t xml:space="preserve">  熟悉环境</t>
    <phoneticPr fontId="1" type="noConversion"/>
  </si>
  <si>
    <t xml:space="preserve">    学习基础知识</t>
    <phoneticPr fontId="1" type="noConversion"/>
  </si>
  <si>
    <t xml:space="preserve">      基本语法</t>
    <phoneticPr fontId="1" type="noConversion"/>
  </si>
  <si>
    <t xml:space="preserve">      数据类型</t>
    <phoneticPr fontId="1" type="noConversion"/>
  </si>
  <si>
    <t xml:space="preserve">        整型</t>
    <phoneticPr fontId="1" type="noConversion"/>
  </si>
  <si>
    <t xml:space="preserve">        长整型</t>
    <phoneticPr fontId="1" type="noConversion"/>
  </si>
  <si>
    <t xml:space="preserve">      程序结构</t>
    <phoneticPr fontId="1" type="noConversion"/>
  </si>
  <si>
    <t xml:space="preserve">        顺序</t>
    <phoneticPr fontId="1" type="noConversion"/>
  </si>
  <si>
    <t xml:space="preserve">        分支</t>
    <phoneticPr fontId="1" type="noConversion"/>
  </si>
  <si>
    <t xml:space="preserve">        循环</t>
    <phoneticPr fontId="1" type="noConversion"/>
  </si>
  <si>
    <t>节假日</t>
    <phoneticPr fontId="1" type="noConversion"/>
  </si>
  <si>
    <t>资源情况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</si>
  <si>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</si>
  <si>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</si>
  <si>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</si>
  <si>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</si>
  <si>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</si>
  <si>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</si>
  <si>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>星期六</t>
    <phoneticPr fontId="1" type="noConversion"/>
  </si>
  <si>
    <t>星期日</t>
    <phoneticPr fontId="1" type="noConversion"/>
  </si>
  <si>
    <t>1 开发平台概述</t>
    <phoneticPr fontId="1" type="noConversion"/>
  </si>
  <si>
    <t xml:space="preserve">    1.1 新增功能</t>
    <phoneticPr fontId="1" type="noConversion"/>
  </si>
  <si>
    <t xml:space="preserve">        1.1.1 前世今生</t>
    <phoneticPr fontId="1" type="noConversion"/>
  </si>
  <si>
    <t xml:space="preserve">        1.1.2 特点</t>
    <phoneticPr fontId="1" type="noConversion"/>
  </si>
  <si>
    <t xml:space="preserve">        1.1.3 直观方便的功能区</t>
    <phoneticPr fontId="1" type="noConversion"/>
  </si>
  <si>
    <t xml:space="preserve">    1.2 开发应用程序有啥好处</t>
    <phoneticPr fontId="1" type="noConversion"/>
  </si>
  <si>
    <t xml:space="preserve">    1.3 应用程序结构</t>
    <phoneticPr fontId="1" type="noConversion"/>
  </si>
  <si>
    <t xml:space="preserve">        1.3.1 程序有哪几部分组成</t>
    <phoneticPr fontId="1" type="noConversion"/>
  </si>
  <si>
    <t xml:space="preserve">        1.3.2 面向对象编程是什么</t>
    <phoneticPr fontId="1" type="noConversion"/>
  </si>
  <si>
    <t xml:space="preserve">    1.4 应用程序开发流程</t>
    <phoneticPr fontId="1" type="noConversion"/>
  </si>
  <si>
    <t xml:space="preserve">        1.4.1 开发前准备</t>
    <phoneticPr fontId="1" type="noConversion"/>
  </si>
  <si>
    <t xml:space="preserve">        1.4.2 开发过程</t>
    <phoneticPr fontId="1" type="noConversion"/>
  </si>
  <si>
    <t xml:space="preserve">        1.4.3 测试</t>
    <phoneticPr fontId="1" type="noConversion"/>
  </si>
  <si>
    <t xml:space="preserve">        1.4.4 发布给最终用户</t>
    <phoneticPr fontId="1" type="noConversion"/>
  </si>
  <si>
    <t>2 使用宏</t>
    <phoneticPr fontId="1" type="noConversion"/>
  </si>
  <si>
    <t xml:space="preserve">    2.1 宏简介</t>
    <phoneticPr fontId="1" type="noConversion"/>
  </si>
  <si>
    <t xml:space="preserve">        2.1.1 宏是什么</t>
    <phoneticPr fontId="1" type="noConversion"/>
  </si>
  <si>
    <t xml:space="preserve">        2.1.2 宏有哪些特点</t>
    <phoneticPr fontId="1" type="noConversion"/>
  </si>
  <si>
    <t xml:space="preserve">        2.1.3 有哪些方法创建宏</t>
    <phoneticPr fontId="1" type="noConversion"/>
  </si>
  <si>
    <t xml:space="preserve">    2.2 将你的宏记录下来</t>
    <phoneticPr fontId="1" type="noConversion"/>
  </si>
  <si>
    <t xml:space="preserve">        2.2.1 宏是什么</t>
    <phoneticPr fontId="1" type="noConversion"/>
  </si>
  <si>
    <t xml:space="preserve">        2.2.2 宏有哪些特点</t>
    <phoneticPr fontId="1" type="noConversion"/>
  </si>
  <si>
    <t xml:space="preserve">        2.2.3 有哪些方法创建宏</t>
    <phoneticPr fontId="1" type="noConversion"/>
  </si>
  <si>
    <t>任务类型</t>
    <phoneticPr fontId="1" type="noConversion"/>
  </si>
  <si>
    <t>级别</t>
    <phoneticPr fontId="1" type="noConversion"/>
  </si>
  <si>
    <t xml:space="preserve">        1.1.1 前世今生</t>
  </si>
  <si>
    <t xml:space="preserve">        1.1.2 特点</t>
  </si>
  <si>
    <t xml:space="preserve">        1.1.3 直观方便的功能区</t>
  </si>
  <si>
    <t xml:space="preserve">    1.2 开发应用程序有啥好处</t>
  </si>
  <si>
    <t xml:space="preserve">        1.3.1 程序有哪几部分组成</t>
  </si>
  <si>
    <t xml:space="preserve">        1.3.2 面向对象编程是什么</t>
  </si>
  <si>
    <t xml:space="preserve">        1.4.1 开发前准备</t>
  </si>
  <si>
    <t xml:space="preserve">        1.4.2 开发过程</t>
  </si>
  <si>
    <t xml:space="preserve">        1.4.3 测试</t>
  </si>
  <si>
    <t xml:space="preserve">        1.4.4 发布给最终用户</t>
  </si>
  <si>
    <t>P</t>
    <phoneticPr fontId="1" type="noConversion"/>
  </si>
  <si>
    <t xml:space="preserve">        2.1.1 宏是什么</t>
  </si>
  <si>
    <t xml:space="preserve">        2.1.2 宏有哪些特点</t>
  </si>
  <si>
    <t xml:space="preserve">        2.1.3 有哪些方法创建宏</t>
  </si>
  <si>
    <t xml:space="preserve">        2.2.1 宏是什么</t>
  </si>
  <si>
    <t xml:space="preserve">        2.2.2 宏有哪些特点</t>
  </si>
  <si>
    <t>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</si>
</sst>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yyyy/mm"/>
    <numFmt numFmtId="177" formatCode="0_ "/>
    <numFmt numFmtId="178" formatCode="d"/>
    <numFmt numFmtId="179" formatCode="0_);[Red]\(0\)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00FF"/>
      <name val="等线"/>
      <family val="3"/>
      <charset val="134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5FFF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E2E9E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rgb="FFFF0000"/>
      </right>
      <top/>
      <bottom/>
      <diagonal/>
    </border>
    <border>
      <left/>
      <right style="hair">
        <color theme="4" tint="0.39994506668294322"/>
      </right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1" xfId="0" applyBorder="1">
      <alignment vertical="center"/>
    </xf>
    <xf numFmtId="9" fontId="2" fillId="0" borderId="1" xfId="0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14" fontId="0" fillId="0" borderId="2" xfId="0" applyNumberFormat="1" applyBorder="1" applyAlignme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8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5" borderId="0" xfId="0" applyFill="1">
      <alignment vertical="center"/>
    </xf>
    <xf numFmtId="178" fontId="0" fillId="0" borderId="5" xfId="0" applyNumberForma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0" borderId="4" xfId="0" applyNumberFormat="1" applyFont="1" applyBorder="1">
      <alignment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4" xfId="0" applyNumberFormat="1" applyFont="1" applyBorder="1">
      <alignment vertical="center"/>
    </xf>
    <xf numFmtId="9" fontId="3" fillId="0" borderId="4" xfId="0" applyNumberFormat="1" applyFont="1" applyBorder="1" applyAlignment="1">
      <alignment horizontal="center" vertical="center"/>
    </xf>
    <xf numFmtId="9" fontId="3" fillId="0" borderId="4" xfId="0" applyNumberFormat="1" applyFont="1" applyBorder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178" fontId="0" fillId="0" borderId="6" xfId="0" applyNumberFormat="1" applyFill="1" applyBorder="1" applyAlignment="1">
      <alignment horizontal="center" vertical="center"/>
    </xf>
    <xf numFmtId="14" fontId="3" fillId="0" borderId="7" xfId="0" applyNumberFormat="1" applyFont="1" applyBorder="1">
      <alignment vertical="center"/>
    </xf>
    <xf numFmtId="177" fontId="6" fillId="0" borderId="4" xfId="0" applyNumberFormat="1" applyFont="1" applyBorder="1" applyAlignment="1">
      <alignment horizontal="center" vertical="center"/>
    </xf>
    <xf numFmtId="9" fontId="7" fillId="0" borderId="4" xfId="0" applyNumberFormat="1" applyFont="1" applyBorder="1" applyAlignment="1">
      <alignment horizontal="center" vertical="center"/>
    </xf>
    <xf numFmtId="9" fontId="6" fillId="0" borderId="4" xfId="0" applyNumberFormat="1" applyFont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4" xfId="0" applyFont="1" applyBorder="1">
      <alignment vertical="center"/>
    </xf>
    <xf numFmtId="14" fontId="9" fillId="0" borderId="4" xfId="0" applyNumberFormat="1" applyFont="1" applyBorder="1" applyAlignment="1">
      <alignment horizontal="center" vertical="center"/>
    </xf>
    <xf numFmtId="14" fontId="9" fillId="0" borderId="4" xfId="0" applyNumberFormat="1" applyFont="1" applyBorder="1">
      <alignment vertical="center"/>
    </xf>
    <xf numFmtId="9" fontId="9" fillId="0" borderId="4" xfId="0" applyNumberFormat="1" applyFont="1" applyBorder="1" applyAlignment="1">
      <alignment horizontal="center" vertical="center"/>
    </xf>
    <xf numFmtId="14" fontId="9" fillId="0" borderId="7" xfId="0" applyNumberFormat="1" applyFont="1" applyBorder="1">
      <alignment vertical="center"/>
    </xf>
    <xf numFmtId="0" fontId="4" fillId="8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 applyAlignment="1">
      <alignment vertical="center"/>
    </xf>
    <xf numFmtId="14" fontId="0" fillId="0" borderId="9" xfId="0" applyNumberFormat="1" applyBorder="1" applyAlignme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4" xfId="0" applyNumberFormat="1" applyFont="1" applyBorder="1" applyAlignment="1">
      <alignment horizontal="center" vertical="center"/>
    </xf>
    <xf numFmtId="9" fontId="9" fillId="0" borderId="4" xfId="0" applyNumberFormat="1" applyFont="1" applyBorder="1">
      <alignment vertical="center"/>
    </xf>
    <xf numFmtId="0" fontId="0" fillId="0" borderId="0" xfId="0" applyAlignment="1">
      <alignment vertical="center"/>
    </xf>
    <xf numFmtId="14" fontId="3" fillId="0" borderId="0" xfId="0" applyNumberFormat="1" applyFont="1" applyBorder="1" applyAlignment="1">
      <alignment horizontal="center" vertical="center"/>
    </xf>
    <xf numFmtId="179" fontId="3" fillId="0" borderId="0" xfId="0" applyNumberFormat="1" applyFont="1" applyBorder="1" applyAlignment="1">
      <alignment horizontal="center" vertical="center"/>
    </xf>
    <xf numFmtId="14" fontId="9" fillId="0" borderId="0" xfId="0" applyNumberFormat="1" applyFont="1" applyBorder="1" applyAlignment="1">
      <alignment horizontal="center" vertical="center"/>
    </xf>
    <xf numFmtId="179" fontId="9" fillId="0" borderId="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0" fillId="9" borderId="0" xfId="0" applyFill="1">
      <alignment vertical="center"/>
    </xf>
    <xf numFmtId="0" fontId="0" fillId="0" borderId="0" xfId="0" applyBorder="1">
      <alignment vertical="center"/>
    </xf>
    <xf numFmtId="0" fontId="0" fillId="0" borderId="10" xfId="0" applyBorder="1">
      <alignment vertical="center"/>
    </xf>
    <xf numFmtId="9" fontId="0" fillId="2" borderId="0" xfId="1" applyFont="1" applyFill="1" applyAlignment="1">
      <alignment horizontal="center" vertical="center"/>
    </xf>
    <xf numFmtId="9" fontId="0" fillId="5" borderId="0" xfId="1" applyFont="1" applyFill="1" applyAlignment="1">
      <alignment horizontal="center" vertical="center"/>
    </xf>
    <xf numFmtId="9" fontId="0" fillId="9" borderId="0" xfId="1" applyFont="1" applyFill="1" applyBorder="1" applyAlignment="1">
      <alignment horizontal="center" vertical="center"/>
    </xf>
    <xf numFmtId="9" fontId="0" fillId="9" borderId="0" xfId="1" applyFont="1" applyFill="1" applyAlignment="1">
      <alignment vertical="center"/>
    </xf>
    <xf numFmtId="9" fontId="0" fillId="9" borderId="11" xfId="1" applyFont="1" applyFill="1" applyBorder="1" applyAlignment="1">
      <alignment vertical="center"/>
    </xf>
    <xf numFmtId="9" fontId="0" fillId="2" borderId="0" xfId="1" applyFont="1" applyFill="1" applyBorder="1" applyAlignment="1">
      <alignment horizontal="center" vertical="center"/>
    </xf>
    <xf numFmtId="9" fontId="0" fillId="2" borderId="10" xfId="1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3E2E9E"/>
      <color rgb="FF2D309F"/>
      <color rgb="FF263BA6"/>
      <color rgb="FFCED6A8"/>
      <color rgb="FF5FFF91"/>
      <color rgb="FF0066FF"/>
      <color rgb="FF0000FF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2</xdr:row>
          <xdr:rowOff>28575</xdr:rowOff>
        </xdr:from>
        <xdr:to>
          <xdr:col>2</xdr:col>
          <xdr:colOff>1228725</xdr:colOff>
          <xdr:row>3</xdr:row>
          <xdr:rowOff>123825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X33"/>
  <sheetViews>
    <sheetView showGridLines="0" tabSelected="1" zoomScaleNormal="100" workbookViewId="0"/>
  </sheetViews>
  <sheetFormatPr defaultRowHeight="14.25" outlineLevelCol="1" x14ac:dyDescent="0.2"/>
  <cols>
    <col min="1" max="1" width="0.375" customWidth="1"/>
    <col min="2" max="2" width="4.125" style="37" bestFit="1" customWidth="1"/>
    <col min="3" max="3" width="28.375" bestFit="1" customWidth="1"/>
    <col min="4" max="4" width="5.25" bestFit="1" customWidth="1"/>
    <col min="5" max="5" width="11" bestFit="1" customWidth="1"/>
    <col min="6" max="6" width="5.25" bestFit="1" customWidth="1"/>
    <col min="7" max="8" width="13" bestFit="1" customWidth="1"/>
    <col min="9" max="10" width="13" hidden="1" customWidth="1" outlineLevel="1"/>
    <col min="11" max="11" width="11" hidden="1" customWidth="1" outlineLevel="1"/>
    <col min="12" max="12" width="9" hidden="1" customWidth="1" outlineLevel="1"/>
    <col min="13" max="13" width="13" hidden="1" customWidth="1" outlineLevel="1"/>
    <col min="14" max="14" width="9" bestFit="1" customWidth="1" collapsed="1"/>
    <col min="15" max="15" width="32.875" customWidth="1"/>
    <col min="16" max="17" width="13" customWidth="1" outlineLevel="1"/>
    <col min="18" max="18" width="9" style="37" customWidth="1" outlineLevel="1"/>
    <col min="19" max="19" width="5.25" style="37" customWidth="1" outlineLevel="1"/>
    <col min="20" max="171" width="3.75" customWidth="1"/>
    <col min="172" max="202" width="3.5" customWidth="1"/>
    <col min="203" max="206" width="2.75" customWidth="1"/>
  </cols>
  <sheetData>
    <row r="1" spans="1:206" x14ac:dyDescent="0.2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X1" s="40">
        <v>43138</v>
      </c>
      <c r="Y1" s="41"/>
      <c r="Z1" s="41"/>
      <c r="AA1" s="41"/>
    </row>
    <row r="2" spans="1:206" x14ac:dyDescent="0.2">
      <c r="C2" s="12" t="s">
        <v>37</v>
      </c>
      <c r="E2" s="12" t="s">
        <v>35</v>
      </c>
      <c r="F2" s="51"/>
      <c r="G2" s="12" t="s">
        <v>36</v>
      </c>
      <c r="H2" s="7"/>
      <c r="I2" s="12" t="s">
        <v>38</v>
      </c>
      <c r="J2" s="13"/>
      <c r="K2" s="12" t="s">
        <v>39</v>
      </c>
      <c r="L2" s="22"/>
      <c r="M2" s="12" t="s">
        <v>40</v>
      </c>
      <c r="N2" s="23"/>
    </row>
    <row r="3" spans="1:206" x14ac:dyDescent="0.2">
      <c r="T3" s="8">
        <v>43101</v>
      </c>
      <c r="U3" s="38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</row>
    <row r="4" spans="1:206" x14ac:dyDescent="0.2">
      <c r="T4" s="11">
        <f>T3</f>
        <v>43101</v>
      </c>
      <c r="U4" s="11">
        <v>43102</v>
      </c>
      <c r="V4" s="11">
        <v>43103</v>
      </c>
      <c r="W4" s="11">
        <v>43104</v>
      </c>
      <c r="X4" s="11">
        <v>43105</v>
      </c>
      <c r="Y4" s="11">
        <v>43106</v>
      </c>
      <c r="Z4" s="11">
        <v>43107</v>
      </c>
      <c r="AA4" s="11">
        <v>43108</v>
      </c>
      <c r="AB4" s="11">
        <v>43109</v>
      </c>
      <c r="AC4" s="11">
        <v>43110</v>
      </c>
      <c r="AD4" s="11">
        <v>43111</v>
      </c>
      <c r="AE4" s="11">
        <v>43112</v>
      </c>
      <c r="AF4" s="11">
        <v>43113</v>
      </c>
      <c r="AG4" s="11">
        <v>43114</v>
      </c>
      <c r="AH4" s="11">
        <v>43115</v>
      </c>
      <c r="AI4" s="11">
        <v>43116</v>
      </c>
      <c r="AJ4" s="11">
        <v>43117</v>
      </c>
      <c r="AK4" s="11">
        <v>43118</v>
      </c>
      <c r="AL4" s="11">
        <v>43119</v>
      </c>
      <c r="AM4" s="11">
        <v>43120</v>
      </c>
      <c r="AN4" s="11">
        <v>43121</v>
      </c>
      <c r="AO4" s="11">
        <v>43122</v>
      </c>
      <c r="AP4" s="11">
        <v>43123</v>
      </c>
      <c r="AQ4" s="11">
        <v>43124</v>
      </c>
      <c r="AR4" s="11">
        <v>43125</v>
      </c>
      <c r="AS4" s="11">
        <v>43126</v>
      </c>
      <c r="AT4" s="11">
        <v>43127</v>
      </c>
      <c r="AU4" s="11">
        <v>43128</v>
      </c>
      <c r="AV4" s="11">
        <v>43129</v>
      </c>
      <c r="AW4" s="11">
        <v>43130</v>
      </c>
      <c r="AX4" s="11">
        <v>43131</v>
      </c>
      <c r="AY4" s="11">
        <v>43132</v>
      </c>
      <c r="AZ4" s="11">
        <v>43133</v>
      </c>
      <c r="BA4" s="11">
        <v>43134</v>
      </c>
      <c r="BB4" s="11">
        <v>43135</v>
      </c>
      <c r="BC4" s="11">
        <v>43136</v>
      </c>
      <c r="BD4" s="11">
        <v>43137</v>
      </c>
      <c r="BE4" s="11">
        <v>43138</v>
      </c>
      <c r="BF4" s="11">
        <v>43139</v>
      </c>
      <c r="BG4" s="11">
        <v>43140</v>
      </c>
      <c r="BH4" s="11">
        <v>43141</v>
      </c>
      <c r="BI4" s="11">
        <v>43142</v>
      </c>
      <c r="BJ4" s="11">
        <v>43143</v>
      </c>
      <c r="BK4" s="11">
        <v>43144</v>
      </c>
      <c r="BL4" s="11">
        <v>43145</v>
      </c>
      <c r="BM4" s="11">
        <v>43146</v>
      </c>
      <c r="BN4" s="11">
        <v>43147</v>
      </c>
      <c r="BO4" s="11">
        <v>43148</v>
      </c>
      <c r="BP4" s="11">
        <v>43149</v>
      </c>
      <c r="BQ4" s="11">
        <v>43150</v>
      </c>
      <c r="BR4" s="11">
        <v>43151</v>
      </c>
      <c r="BS4" s="11">
        <v>43152</v>
      </c>
      <c r="BT4" s="11">
        <v>43153</v>
      </c>
      <c r="BU4" s="11">
        <v>43154</v>
      </c>
      <c r="BV4" s="11">
        <v>43155</v>
      </c>
      <c r="BW4" s="11">
        <v>43156</v>
      </c>
      <c r="BX4" s="11">
        <v>43157</v>
      </c>
      <c r="BY4" s="11">
        <v>43158</v>
      </c>
      <c r="BZ4" s="11">
        <v>43159</v>
      </c>
      <c r="CA4" s="11">
        <v>43160</v>
      </c>
      <c r="CB4" s="11">
        <v>43161</v>
      </c>
      <c r="CC4" s="11">
        <v>43162</v>
      </c>
      <c r="CD4" s="11">
        <v>43163</v>
      </c>
      <c r="CE4" s="11">
        <v>43164</v>
      </c>
      <c r="CF4" s="11">
        <v>43165</v>
      </c>
      <c r="CG4" s="11">
        <v>43166</v>
      </c>
      <c r="CH4" s="11">
        <v>43167</v>
      </c>
      <c r="CI4" s="11">
        <v>43168</v>
      </c>
      <c r="CJ4" s="11">
        <v>43169</v>
      </c>
      <c r="CK4" s="11">
        <v>43170</v>
      </c>
      <c r="CL4" s="11">
        <v>43171</v>
      </c>
      <c r="CM4" s="11">
        <v>43172</v>
      </c>
      <c r="CN4" s="11">
        <v>43173</v>
      </c>
      <c r="CO4" s="11">
        <v>43174</v>
      </c>
      <c r="CP4" s="11">
        <v>43175</v>
      </c>
      <c r="CQ4" s="11">
        <v>43176</v>
      </c>
      <c r="CR4" s="11">
        <v>43177</v>
      </c>
      <c r="CS4" s="11">
        <v>43178</v>
      </c>
      <c r="CT4" s="11">
        <v>43179</v>
      </c>
      <c r="CU4" s="11">
        <v>43180</v>
      </c>
      <c r="CV4" s="11">
        <v>43181</v>
      </c>
      <c r="CW4" s="11">
        <v>43182</v>
      </c>
      <c r="CX4" s="11">
        <v>43183</v>
      </c>
      <c r="CY4" s="11">
        <v>43184</v>
      </c>
      <c r="CZ4" s="11">
        <v>43185</v>
      </c>
      <c r="DA4" s="11">
        <v>43186</v>
      </c>
      <c r="DB4" s="11">
        <v>43187</v>
      </c>
      <c r="DC4" s="11">
        <v>43188</v>
      </c>
      <c r="DD4" s="11">
        <v>43189</v>
      </c>
      <c r="DE4" s="11">
        <v>43190</v>
      </c>
      <c r="DF4" s="11">
        <v>43191</v>
      </c>
      <c r="DG4" s="11">
        <v>43192</v>
      </c>
      <c r="DH4" s="11">
        <v>43193</v>
      </c>
      <c r="DI4" s="11">
        <v>43194</v>
      </c>
      <c r="DJ4" s="11">
        <v>43195</v>
      </c>
      <c r="DK4" s="11">
        <v>43196</v>
      </c>
      <c r="DL4" s="11">
        <v>43197</v>
      </c>
      <c r="DM4" s="11">
        <v>43198</v>
      </c>
      <c r="DN4" s="11">
        <v>43199</v>
      </c>
      <c r="DO4" s="11">
        <v>43200</v>
      </c>
      <c r="DP4" s="11">
        <v>43201</v>
      </c>
      <c r="DQ4" s="11">
        <v>43202</v>
      </c>
      <c r="DR4" s="11">
        <v>43203</v>
      </c>
      <c r="DS4" s="11">
        <v>43204</v>
      </c>
      <c r="DT4" s="11">
        <v>43205</v>
      </c>
      <c r="DU4" s="11">
        <v>43206</v>
      </c>
      <c r="DV4" s="11">
        <v>43207</v>
      </c>
      <c r="DW4" s="11">
        <v>43208</v>
      </c>
      <c r="DX4" s="11">
        <v>43209</v>
      </c>
      <c r="DY4" s="11">
        <v>43210</v>
      </c>
      <c r="DZ4" s="11">
        <v>43211</v>
      </c>
      <c r="EA4" s="11">
        <v>43212</v>
      </c>
      <c r="EB4" s="11">
        <v>43213</v>
      </c>
      <c r="EC4" s="11">
        <v>43214</v>
      </c>
      <c r="ED4" s="11">
        <v>43215</v>
      </c>
      <c r="EE4" s="11">
        <v>43216</v>
      </c>
      <c r="EF4" s="11">
        <v>43217</v>
      </c>
      <c r="EG4" s="11">
        <v>43218</v>
      </c>
      <c r="EH4" s="11">
        <v>43219</v>
      </c>
      <c r="EI4" s="11">
        <v>43220</v>
      </c>
      <c r="EJ4" s="11">
        <v>43221</v>
      </c>
      <c r="EK4" s="11">
        <v>43222</v>
      </c>
      <c r="EL4" s="11">
        <v>43223</v>
      </c>
      <c r="EM4" s="11">
        <v>43224</v>
      </c>
      <c r="EN4" s="11">
        <v>43225</v>
      </c>
      <c r="EO4" s="11">
        <v>43226</v>
      </c>
      <c r="EP4" s="11">
        <v>43227</v>
      </c>
      <c r="EQ4" s="11">
        <v>43228</v>
      </c>
      <c r="ER4" s="11">
        <v>43229</v>
      </c>
      <c r="ES4" s="11">
        <v>43230</v>
      </c>
      <c r="ET4" s="11">
        <v>43231</v>
      </c>
      <c r="EU4" s="11">
        <v>43232</v>
      </c>
      <c r="EV4" s="11">
        <v>43233</v>
      </c>
      <c r="EW4" s="11">
        <v>43234</v>
      </c>
      <c r="EX4" s="11">
        <v>43235</v>
      </c>
      <c r="EY4" s="11">
        <v>43236</v>
      </c>
      <c r="EZ4" s="11">
        <v>43237</v>
      </c>
      <c r="FA4" s="11">
        <v>43238</v>
      </c>
      <c r="FB4" s="11">
        <v>43239</v>
      </c>
      <c r="FC4" s="11">
        <v>43240</v>
      </c>
      <c r="FD4" s="11">
        <v>43241</v>
      </c>
      <c r="FE4" s="11">
        <v>43242</v>
      </c>
      <c r="FF4" s="11">
        <v>43243</v>
      </c>
      <c r="FG4" s="11">
        <v>43244</v>
      </c>
      <c r="FH4" s="11">
        <v>43245</v>
      </c>
      <c r="FI4" s="11">
        <v>43246</v>
      </c>
      <c r="FJ4" s="11">
        <v>43247</v>
      </c>
      <c r="FK4" s="11">
        <v>43248</v>
      </c>
      <c r="FL4" s="11">
        <v>43249</v>
      </c>
      <c r="FM4" s="11">
        <v>43250</v>
      </c>
      <c r="FN4" s="11">
        <v>43251</v>
      </c>
      <c r="FO4" s="11">
        <v>43252</v>
      </c>
      <c r="FP4" s="11">
        <v>43253</v>
      </c>
      <c r="FQ4" s="11">
        <v>43254</v>
      </c>
      <c r="FR4" s="11">
        <v>43255</v>
      </c>
      <c r="FS4" s="11">
        <v>43256</v>
      </c>
      <c r="FT4" s="11">
        <v>43257</v>
      </c>
      <c r="FU4" s="11">
        <v>43258</v>
      </c>
      <c r="FV4" s="11">
        <v>43259</v>
      </c>
      <c r="FW4" s="11">
        <v>43260</v>
      </c>
      <c r="FX4" s="11">
        <v>43261</v>
      </c>
      <c r="FY4" s="11">
        <v>43262</v>
      </c>
      <c r="FZ4" s="11">
        <v>43263</v>
      </c>
      <c r="GA4" s="11">
        <v>43264</v>
      </c>
      <c r="GB4" s="11">
        <v>43265</v>
      </c>
      <c r="GC4" s="11">
        <v>43266</v>
      </c>
      <c r="GD4" s="11">
        <v>43267</v>
      </c>
      <c r="GE4" s="11">
        <v>43268</v>
      </c>
      <c r="GF4" s="11">
        <v>43269</v>
      </c>
      <c r="GG4" s="11">
        <v>43270</v>
      </c>
      <c r="GH4" s="11">
        <v>43271</v>
      </c>
      <c r="GI4" s="11">
        <v>43272</v>
      </c>
      <c r="GJ4" s="11">
        <v>43273</v>
      </c>
      <c r="GK4" s="11">
        <v>43274</v>
      </c>
      <c r="GL4" s="11">
        <v>43275</v>
      </c>
      <c r="GM4" s="11">
        <v>43276</v>
      </c>
      <c r="GN4" s="11">
        <v>43277</v>
      </c>
      <c r="GO4" s="11">
        <v>43278</v>
      </c>
      <c r="GP4" s="11">
        <v>43279</v>
      </c>
      <c r="GQ4" s="11">
        <v>43280</v>
      </c>
      <c r="GR4" s="11">
        <v>43281</v>
      </c>
      <c r="GS4" s="11">
        <v>43282</v>
      </c>
      <c r="GT4" s="11">
        <v>43345</v>
      </c>
      <c r="GU4" s="11">
        <v>43346</v>
      </c>
      <c r="GV4" s="11">
        <v>43347</v>
      </c>
      <c r="GW4" s="11">
        <v>43348</v>
      </c>
      <c r="GX4" s="11">
        <v>43349</v>
      </c>
    </row>
    <row r="5" spans="1:206" x14ac:dyDescent="0.2">
      <c r="B5" s="15" t="s">
        <v>0</v>
      </c>
      <c r="C5" s="15" t="s">
        <v>1</v>
      </c>
      <c r="D5" s="15" t="s">
        <v>2</v>
      </c>
      <c r="E5" s="15" t="s">
        <v>3</v>
      </c>
      <c r="F5" s="15" t="s">
        <v>33</v>
      </c>
      <c r="G5" s="15" t="s">
        <v>9</v>
      </c>
      <c r="H5" s="15" t="s">
        <v>10</v>
      </c>
      <c r="I5" s="15" t="s">
        <v>11</v>
      </c>
      <c r="J5" s="15" t="s">
        <v>12</v>
      </c>
      <c r="K5" s="15" t="s">
        <v>4</v>
      </c>
      <c r="L5" s="15" t="s">
        <v>5</v>
      </c>
      <c r="M5" s="15" t="s">
        <v>6</v>
      </c>
      <c r="N5" s="15" t="s">
        <v>7</v>
      </c>
      <c r="O5" s="15" t="s">
        <v>8</v>
      </c>
      <c r="P5" s="15" t="s">
        <v>13</v>
      </c>
      <c r="Q5" s="15" t="s">
        <v>14</v>
      </c>
      <c r="R5" s="35" t="s">
        <v>64</v>
      </c>
      <c r="S5" s="35" t="s">
        <v>65</v>
      </c>
      <c r="T5" s="14" t="str">
        <f>IF(T4="","",CHOOSE(WEEKDAY(T4,2),"一","二","三","四","五","六","日"))</f>
        <v>一</v>
      </c>
      <c r="U5" s="14" t="str">
        <f t="shared" ref="U5:CF5" si="0">IF(U4="","",CHOOSE(WEEKDAY(U4,2),"一","二","三","四","五","六","日"))</f>
        <v>二</v>
      </c>
      <c r="V5" s="14" t="str">
        <f t="shared" si="0"/>
        <v>三</v>
      </c>
      <c r="W5" s="14" t="str">
        <f t="shared" si="0"/>
        <v>四</v>
      </c>
      <c r="X5" s="14" t="str">
        <f t="shared" si="0"/>
        <v>五</v>
      </c>
      <c r="Y5" s="14" t="str">
        <f t="shared" si="0"/>
        <v>六</v>
      </c>
      <c r="Z5" s="14" t="str">
        <f t="shared" si="0"/>
        <v>日</v>
      </c>
      <c r="AA5" s="14" t="str">
        <f t="shared" si="0"/>
        <v>一</v>
      </c>
      <c r="AB5" s="14" t="str">
        <f t="shared" si="0"/>
        <v>二</v>
      </c>
      <c r="AC5" s="14" t="str">
        <f t="shared" si="0"/>
        <v>三</v>
      </c>
      <c r="AD5" s="14" t="str">
        <f t="shared" si="0"/>
        <v>四</v>
      </c>
      <c r="AE5" s="14" t="str">
        <f t="shared" si="0"/>
        <v>五</v>
      </c>
      <c r="AF5" s="14" t="str">
        <f t="shared" si="0"/>
        <v>六</v>
      </c>
      <c r="AG5" s="14" t="str">
        <f t="shared" si="0"/>
        <v>日</v>
      </c>
      <c r="AH5" s="14" t="str">
        <f t="shared" si="0"/>
        <v>一</v>
      </c>
      <c r="AI5" s="14" t="str">
        <f t="shared" si="0"/>
        <v>二</v>
      </c>
      <c r="AJ5" s="14" t="str">
        <f t="shared" si="0"/>
        <v>三</v>
      </c>
      <c r="AK5" s="14" t="str">
        <f t="shared" si="0"/>
        <v>四</v>
      </c>
      <c r="AL5" s="24" t="str">
        <f t="shared" si="0"/>
        <v>五</v>
      </c>
      <c r="AM5" s="14" t="str">
        <f t="shared" si="0"/>
        <v>六</v>
      </c>
      <c r="AN5" s="14" t="str">
        <f t="shared" si="0"/>
        <v>日</v>
      </c>
      <c r="AO5" s="14" t="str">
        <f t="shared" si="0"/>
        <v>一</v>
      </c>
      <c r="AP5" s="14" t="str">
        <f t="shared" si="0"/>
        <v>二</v>
      </c>
      <c r="AQ5" s="24" t="str">
        <f t="shared" si="0"/>
        <v>三</v>
      </c>
      <c r="AR5" s="14" t="str">
        <f t="shared" si="0"/>
        <v>四</v>
      </c>
      <c r="AS5" s="24" t="str">
        <f t="shared" si="0"/>
        <v>五</v>
      </c>
      <c r="AT5" s="24" t="str">
        <f t="shared" si="0"/>
        <v>六</v>
      </c>
      <c r="AU5" s="14" t="str">
        <f t="shared" si="0"/>
        <v>日</v>
      </c>
      <c r="AV5" s="14" t="str">
        <f t="shared" si="0"/>
        <v>一</v>
      </c>
      <c r="AW5" s="14" t="str">
        <f t="shared" si="0"/>
        <v>二</v>
      </c>
      <c r="AX5" s="14" t="str">
        <f t="shared" si="0"/>
        <v>三</v>
      </c>
      <c r="AY5" s="14" t="str">
        <f t="shared" si="0"/>
        <v>四</v>
      </c>
      <c r="AZ5" s="14" t="str">
        <f t="shared" si="0"/>
        <v>五</v>
      </c>
      <c r="BA5" s="14" t="str">
        <f t="shared" si="0"/>
        <v>六</v>
      </c>
      <c r="BB5" s="24" t="str">
        <f t="shared" si="0"/>
        <v>日</v>
      </c>
      <c r="BC5" s="14" t="str">
        <f t="shared" si="0"/>
        <v>一</v>
      </c>
      <c r="BD5" s="24" t="str">
        <f t="shared" si="0"/>
        <v>二</v>
      </c>
      <c r="BE5" s="24" t="str">
        <f t="shared" si="0"/>
        <v>三</v>
      </c>
      <c r="BF5" s="14" t="str">
        <f t="shared" si="0"/>
        <v>四</v>
      </c>
      <c r="BG5" s="14" t="str">
        <f t="shared" si="0"/>
        <v>五</v>
      </c>
      <c r="BH5" s="14" t="str">
        <f t="shared" si="0"/>
        <v>六</v>
      </c>
      <c r="BI5" s="14" t="str">
        <f t="shared" si="0"/>
        <v>日</v>
      </c>
      <c r="BJ5" s="14" t="str">
        <f t="shared" si="0"/>
        <v>一</v>
      </c>
      <c r="BK5" s="14" t="str">
        <f t="shared" si="0"/>
        <v>二</v>
      </c>
      <c r="BL5" s="14" t="str">
        <f t="shared" si="0"/>
        <v>三</v>
      </c>
      <c r="BM5" s="14" t="str">
        <f t="shared" si="0"/>
        <v>四</v>
      </c>
      <c r="BN5" s="14" t="str">
        <f t="shared" si="0"/>
        <v>五</v>
      </c>
      <c r="BO5" s="14" t="str">
        <f t="shared" si="0"/>
        <v>六</v>
      </c>
      <c r="BP5" s="14" t="str">
        <f t="shared" si="0"/>
        <v>日</v>
      </c>
      <c r="BQ5" s="14" t="str">
        <f t="shared" si="0"/>
        <v>一</v>
      </c>
      <c r="BR5" s="14" t="str">
        <f t="shared" si="0"/>
        <v>二</v>
      </c>
      <c r="BS5" s="14" t="str">
        <f t="shared" si="0"/>
        <v>三</v>
      </c>
      <c r="BT5" s="14" t="str">
        <f t="shared" si="0"/>
        <v>四</v>
      </c>
      <c r="BU5" s="14" t="str">
        <f t="shared" si="0"/>
        <v>五</v>
      </c>
      <c r="BV5" s="14" t="str">
        <f t="shared" si="0"/>
        <v>六</v>
      </c>
      <c r="BW5" s="14" t="str">
        <f t="shared" si="0"/>
        <v>日</v>
      </c>
      <c r="BX5" s="14" t="str">
        <f t="shared" si="0"/>
        <v>一</v>
      </c>
      <c r="BY5" s="14" t="str">
        <f t="shared" si="0"/>
        <v>二</v>
      </c>
      <c r="BZ5" s="14" t="str">
        <f t="shared" si="0"/>
        <v>三</v>
      </c>
      <c r="CA5" s="14" t="str">
        <f t="shared" si="0"/>
        <v>四</v>
      </c>
      <c r="CB5" s="14" t="str">
        <f t="shared" si="0"/>
        <v>五</v>
      </c>
      <c r="CC5" s="14" t="str">
        <f t="shared" si="0"/>
        <v>六</v>
      </c>
      <c r="CD5" s="14" t="str">
        <f t="shared" si="0"/>
        <v>日</v>
      </c>
      <c r="CE5" s="14" t="str">
        <f t="shared" si="0"/>
        <v>一</v>
      </c>
      <c r="CF5" s="14" t="str">
        <f t="shared" si="0"/>
        <v>二</v>
      </c>
      <c r="CG5" s="14" t="str">
        <f t="shared" ref="CG5:ER5" si="1">IF(CG4="","",CHOOSE(WEEKDAY(CG4,2),"一","二","三","四","五","六","日"))</f>
        <v>三</v>
      </c>
      <c r="CH5" s="14" t="str">
        <f t="shared" si="1"/>
        <v>四</v>
      </c>
      <c r="CI5" s="14" t="str">
        <f t="shared" si="1"/>
        <v>五</v>
      </c>
      <c r="CJ5" s="14" t="str">
        <f t="shared" si="1"/>
        <v>六</v>
      </c>
      <c r="CK5" s="14" t="str">
        <f t="shared" si="1"/>
        <v>日</v>
      </c>
      <c r="CL5" s="14" t="str">
        <f t="shared" si="1"/>
        <v>一</v>
      </c>
      <c r="CM5" s="14" t="str">
        <f t="shared" si="1"/>
        <v>二</v>
      </c>
      <c r="CN5" s="14" t="str">
        <f t="shared" si="1"/>
        <v>三</v>
      </c>
      <c r="CO5" s="14" t="str">
        <f t="shared" si="1"/>
        <v>四</v>
      </c>
      <c r="CP5" s="14" t="str">
        <f t="shared" si="1"/>
        <v>五</v>
      </c>
      <c r="CQ5" s="14" t="str">
        <f t="shared" si="1"/>
        <v>六</v>
      </c>
      <c r="CR5" s="14" t="str">
        <f t="shared" si="1"/>
        <v>日</v>
      </c>
      <c r="CS5" s="14" t="str">
        <f t="shared" si="1"/>
        <v>一</v>
      </c>
      <c r="CT5" s="14" t="str">
        <f t="shared" si="1"/>
        <v>二</v>
      </c>
      <c r="CU5" s="14" t="str">
        <f t="shared" si="1"/>
        <v>三</v>
      </c>
      <c r="CV5" s="14" t="str">
        <f t="shared" si="1"/>
        <v>四</v>
      </c>
      <c r="CW5" s="14" t="str">
        <f t="shared" si="1"/>
        <v>五</v>
      </c>
      <c r="CX5" s="14" t="str">
        <f t="shared" si="1"/>
        <v>六</v>
      </c>
      <c r="CY5" s="14" t="str">
        <f t="shared" si="1"/>
        <v>日</v>
      </c>
      <c r="CZ5" s="14" t="str">
        <f t="shared" si="1"/>
        <v>一</v>
      </c>
      <c r="DA5" s="14" t="str">
        <f t="shared" si="1"/>
        <v>二</v>
      </c>
      <c r="DB5" s="14" t="str">
        <f t="shared" si="1"/>
        <v>三</v>
      </c>
      <c r="DC5" s="14" t="str">
        <f t="shared" si="1"/>
        <v>四</v>
      </c>
      <c r="DD5" s="14" t="str">
        <f t="shared" si="1"/>
        <v>五</v>
      </c>
      <c r="DE5" s="14" t="str">
        <f t="shared" si="1"/>
        <v>六</v>
      </c>
      <c r="DF5" s="14" t="str">
        <f t="shared" si="1"/>
        <v>日</v>
      </c>
      <c r="DG5" s="14" t="str">
        <f t="shared" si="1"/>
        <v>一</v>
      </c>
      <c r="DH5" s="14" t="str">
        <f t="shared" si="1"/>
        <v>二</v>
      </c>
      <c r="DI5" s="14" t="str">
        <f t="shared" si="1"/>
        <v>三</v>
      </c>
      <c r="DJ5" s="14" t="str">
        <f t="shared" si="1"/>
        <v>四</v>
      </c>
      <c r="DK5" s="14" t="str">
        <f t="shared" si="1"/>
        <v>五</v>
      </c>
      <c r="DL5" s="14" t="str">
        <f t="shared" si="1"/>
        <v>六</v>
      </c>
      <c r="DM5" s="14" t="str">
        <f t="shared" si="1"/>
        <v>日</v>
      </c>
      <c r="DN5" s="14" t="str">
        <f t="shared" si="1"/>
        <v>一</v>
      </c>
      <c r="DO5" s="14" t="str">
        <f t="shared" si="1"/>
        <v>二</v>
      </c>
      <c r="DP5" s="14" t="str">
        <f t="shared" si="1"/>
        <v>三</v>
      </c>
      <c r="DQ5" s="14" t="str">
        <f t="shared" si="1"/>
        <v>四</v>
      </c>
      <c r="DR5" s="14" t="str">
        <f t="shared" si="1"/>
        <v>五</v>
      </c>
      <c r="DS5" s="14" t="str">
        <f t="shared" si="1"/>
        <v>六</v>
      </c>
      <c r="DT5" s="14" t="str">
        <f t="shared" si="1"/>
        <v>日</v>
      </c>
      <c r="DU5" s="14" t="str">
        <f t="shared" si="1"/>
        <v>一</v>
      </c>
      <c r="DV5" s="14" t="str">
        <f t="shared" si="1"/>
        <v>二</v>
      </c>
      <c r="DW5" s="14" t="str">
        <f t="shared" si="1"/>
        <v>三</v>
      </c>
      <c r="DX5" s="14" t="str">
        <f t="shared" si="1"/>
        <v>四</v>
      </c>
      <c r="DY5" s="14" t="str">
        <f t="shared" si="1"/>
        <v>五</v>
      </c>
      <c r="DZ5" s="14" t="str">
        <f t="shared" si="1"/>
        <v>六</v>
      </c>
      <c r="EA5" s="14" t="str">
        <f t="shared" si="1"/>
        <v>日</v>
      </c>
      <c r="EB5" s="14" t="str">
        <f t="shared" si="1"/>
        <v>一</v>
      </c>
      <c r="EC5" s="14" t="str">
        <f t="shared" si="1"/>
        <v>二</v>
      </c>
      <c r="ED5" s="14" t="str">
        <f t="shared" si="1"/>
        <v>三</v>
      </c>
      <c r="EE5" s="14" t="str">
        <f t="shared" si="1"/>
        <v>四</v>
      </c>
      <c r="EF5" s="14" t="str">
        <f t="shared" si="1"/>
        <v>五</v>
      </c>
      <c r="EG5" s="14" t="str">
        <f t="shared" si="1"/>
        <v>六</v>
      </c>
      <c r="EH5" s="14" t="str">
        <f t="shared" si="1"/>
        <v>日</v>
      </c>
      <c r="EI5" s="14" t="str">
        <f t="shared" si="1"/>
        <v>一</v>
      </c>
      <c r="EJ5" s="14" t="str">
        <f t="shared" si="1"/>
        <v>二</v>
      </c>
      <c r="EK5" s="14" t="str">
        <f t="shared" si="1"/>
        <v>三</v>
      </c>
      <c r="EL5" s="14" t="str">
        <f t="shared" si="1"/>
        <v>四</v>
      </c>
      <c r="EM5" s="14" t="str">
        <f t="shared" si="1"/>
        <v>五</v>
      </c>
      <c r="EN5" s="14" t="str">
        <f t="shared" si="1"/>
        <v>六</v>
      </c>
      <c r="EO5" s="14" t="str">
        <f t="shared" si="1"/>
        <v>日</v>
      </c>
      <c r="EP5" s="14" t="str">
        <f t="shared" si="1"/>
        <v>一</v>
      </c>
      <c r="EQ5" s="14" t="str">
        <f t="shared" si="1"/>
        <v>二</v>
      </c>
      <c r="ER5" s="14" t="str">
        <f t="shared" si="1"/>
        <v>三</v>
      </c>
      <c r="ES5" s="14" t="str">
        <f t="shared" ref="ES5:GT5" si="2">IF(ES4="","",CHOOSE(WEEKDAY(ES4,2),"一","二","三","四","五","六","日"))</f>
        <v>四</v>
      </c>
      <c r="ET5" s="14" t="str">
        <f t="shared" si="2"/>
        <v>五</v>
      </c>
      <c r="EU5" s="14" t="str">
        <f t="shared" si="2"/>
        <v>六</v>
      </c>
      <c r="EV5" s="14" t="str">
        <f t="shared" si="2"/>
        <v>日</v>
      </c>
      <c r="EW5" s="14" t="str">
        <f t="shared" si="2"/>
        <v>一</v>
      </c>
      <c r="EX5" s="14" t="str">
        <f t="shared" si="2"/>
        <v>二</v>
      </c>
      <c r="EY5" s="14" t="str">
        <f t="shared" si="2"/>
        <v>三</v>
      </c>
      <c r="EZ5" s="14" t="str">
        <f t="shared" si="2"/>
        <v>四</v>
      </c>
      <c r="FA5" s="14" t="str">
        <f t="shared" si="2"/>
        <v>五</v>
      </c>
      <c r="FB5" s="14" t="str">
        <f t="shared" si="2"/>
        <v>六</v>
      </c>
      <c r="FC5" s="14" t="str">
        <f t="shared" si="2"/>
        <v>日</v>
      </c>
      <c r="FD5" s="14" t="str">
        <f t="shared" si="2"/>
        <v>一</v>
      </c>
      <c r="FE5" s="14" t="str">
        <f t="shared" si="2"/>
        <v>二</v>
      </c>
      <c r="FF5" s="14" t="str">
        <f t="shared" si="2"/>
        <v>三</v>
      </c>
      <c r="FG5" s="14" t="str">
        <f t="shared" si="2"/>
        <v>四</v>
      </c>
      <c r="FH5" s="14" t="str">
        <f t="shared" si="2"/>
        <v>五</v>
      </c>
      <c r="FI5" s="14" t="str">
        <f t="shared" si="2"/>
        <v>六</v>
      </c>
      <c r="FJ5" s="14" t="str">
        <f t="shared" si="2"/>
        <v>日</v>
      </c>
      <c r="FK5" s="14" t="str">
        <f t="shared" si="2"/>
        <v>一</v>
      </c>
      <c r="FL5" s="14" t="str">
        <f t="shared" si="2"/>
        <v>二</v>
      </c>
      <c r="FM5" s="14" t="str">
        <f t="shared" si="2"/>
        <v>三</v>
      </c>
      <c r="FN5" s="14" t="str">
        <f t="shared" si="2"/>
        <v>四</v>
      </c>
      <c r="FO5" s="14" t="str">
        <f t="shared" si="2"/>
        <v>五</v>
      </c>
      <c r="FP5" s="14" t="str">
        <f t="shared" si="2"/>
        <v>六</v>
      </c>
      <c r="FQ5" s="14" t="str">
        <f t="shared" si="2"/>
        <v>日</v>
      </c>
      <c r="FR5" s="14" t="str">
        <f t="shared" si="2"/>
        <v>一</v>
      </c>
      <c r="FS5" s="14" t="str">
        <f t="shared" si="2"/>
        <v>二</v>
      </c>
      <c r="FT5" s="14" t="str">
        <f t="shared" si="2"/>
        <v>三</v>
      </c>
      <c r="FU5" s="14" t="str">
        <f t="shared" si="2"/>
        <v>四</v>
      </c>
      <c r="FV5" s="14" t="str">
        <f t="shared" si="2"/>
        <v>五</v>
      </c>
      <c r="FW5" s="14" t="str">
        <f t="shared" si="2"/>
        <v>六</v>
      </c>
      <c r="FX5" s="14" t="str">
        <f t="shared" si="2"/>
        <v>日</v>
      </c>
      <c r="FY5" s="14" t="str">
        <f t="shared" si="2"/>
        <v>一</v>
      </c>
      <c r="FZ5" s="14" t="str">
        <f t="shared" si="2"/>
        <v>二</v>
      </c>
      <c r="GA5" s="14" t="str">
        <f t="shared" si="2"/>
        <v>三</v>
      </c>
      <c r="GB5" s="14" t="str">
        <f t="shared" si="2"/>
        <v>四</v>
      </c>
      <c r="GC5" s="14" t="str">
        <f t="shared" si="2"/>
        <v>五</v>
      </c>
      <c r="GD5" s="14" t="str">
        <f t="shared" si="2"/>
        <v>六</v>
      </c>
      <c r="GE5" s="14" t="str">
        <f t="shared" si="2"/>
        <v>日</v>
      </c>
      <c r="GF5" s="14" t="str">
        <f t="shared" si="2"/>
        <v>一</v>
      </c>
      <c r="GG5" s="14" t="str">
        <f t="shared" si="2"/>
        <v>二</v>
      </c>
      <c r="GH5" s="14" t="str">
        <f t="shared" si="2"/>
        <v>三</v>
      </c>
      <c r="GI5" s="14" t="str">
        <f t="shared" si="2"/>
        <v>四</v>
      </c>
      <c r="GJ5" s="14" t="str">
        <f t="shared" si="2"/>
        <v>五</v>
      </c>
      <c r="GK5" s="14" t="str">
        <f t="shared" si="2"/>
        <v>六</v>
      </c>
      <c r="GL5" s="14" t="str">
        <f t="shared" si="2"/>
        <v>日</v>
      </c>
      <c r="GM5" s="14" t="str">
        <f t="shared" si="2"/>
        <v>一</v>
      </c>
      <c r="GN5" s="14" t="str">
        <f t="shared" si="2"/>
        <v>二</v>
      </c>
      <c r="GO5" s="14" t="str">
        <f t="shared" si="2"/>
        <v>三</v>
      </c>
      <c r="GP5" s="14" t="str">
        <f t="shared" si="2"/>
        <v>四</v>
      </c>
      <c r="GQ5" s="14" t="str">
        <f t="shared" si="2"/>
        <v>五</v>
      </c>
      <c r="GR5" s="14" t="str">
        <f t="shared" si="2"/>
        <v>六</v>
      </c>
      <c r="GS5" s="14" t="str">
        <f t="shared" si="2"/>
        <v>日</v>
      </c>
      <c r="GT5" s="14" t="str">
        <f t="shared" si="2"/>
        <v>日</v>
      </c>
      <c r="GU5" s="14" t="str">
        <f t="shared" ref="GU5:GV5" si="3">IF(GU4="","",CHOOSE(WEEKDAY(GU4,2),"一","二","三","四","五","六","日"))</f>
        <v>一</v>
      </c>
      <c r="GV5" s="14" t="str">
        <f t="shared" si="3"/>
        <v>二</v>
      </c>
      <c r="GW5" s="14" t="str">
        <f t="shared" ref="GW5:GX5" si="4">IF(GW4="","",CHOOSE(WEEKDAY(GW4,2),"一","二","三","四","五","六","日"))</f>
        <v>三</v>
      </c>
      <c r="GX5" s="14" t="str">
        <f t="shared" si="4"/>
        <v>四</v>
      </c>
    </row>
    <row r="6" spans="1:206" x14ac:dyDescent="0.2">
      <c r="B6" s="49">
        <v>1</v>
      </c>
      <c r="C6" s="16" t="s">
        <v>41</v>
      </c>
      <c r="D6" s="17"/>
      <c r="E6" s="27"/>
      <c r="F6" s="42">
        <v>1</v>
      </c>
      <c r="G6" s="18">
        <v>43132</v>
      </c>
      <c r="H6" s="18">
        <v>43176</v>
      </c>
      <c r="I6" s="19"/>
      <c r="J6" s="19"/>
      <c r="K6" s="16"/>
      <c r="L6" s="16"/>
      <c r="M6" s="16"/>
      <c r="N6" s="20">
        <v>0</v>
      </c>
      <c r="O6" s="16"/>
      <c r="P6" s="19"/>
      <c r="Q6" s="25"/>
      <c r="R6" s="45" t="s">
        <v>76</v>
      </c>
      <c r="S6" s="46">
        <v>0</v>
      </c>
      <c r="AY6" s="59">
        <v>0</v>
      </c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60"/>
      <c r="GT6" s="57"/>
      <c r="GU6" s="57"/>
      <c r="GV6" s="57"/>
      <c r="GW6" s="57"/>
      <c r="GX6" s="58"/>
    </row>
    <row r="7" spans="1:206" x14ac:dyDescent="0.2">
      <c r="B7" s="49">
        <f>B6+1</f>
        <v>2</v>
      </c>
      <c r="C7" s="16" t="s">
        <v>42</v>
      </c>
      <c r="D7" s="21"/>
      <c r="E7" s="27"/>
      <c r="F7" s="42">
        <v>0</v>
      </c>
      <c r="G7" s="18">
        <v>43132</v>
      </c>
      <c r="H7" s="18">
        <v>43143</v>
      </c>
      <c r="I7" s="19"/>
      <c r="J7" s="19"/>
      <c r="K7" s="16"/>
      <c r="L7" s="16"/>
      <c r="M7" s="16"/>
      <c r="N7" s="20">
        <v>0</v>
      </c>
      <c r="O7" s="16"/>
      <c r="P7" s="19"/>
      <c r="Q7" s="25"/>
      <c r="R7" s="45" t="s">
        <v>76</v>
      </c>
      <c r="S7" s="46">
        <v>1</v>
      </c>
      <c r="AY7" s="59">
        <v>0</v>
      </c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3"/>
      <c r="GT7" s="57"/>
      <c r="GU7" s="57"/>
      <c r="GV7" s="57"/>
      <c r="GW7" s="57"/>
      <c r="GX7" s="58"/>
    </row>
    <row r="8" spans="1:206" s="29" customFormat="1" x14ac:dyDescent="0.2">
      <c r="B8" s="50">
        <f t="shared" ref="B8:B28" si="5">B7+1</f>
        <v>3</v>
      </c>
      <c r="C8" s="30" t="s">
        <v>43</v>
      </c>
      <c r="D8" s="30"/>
      <c r="E8" s="28"/>
      <c r="F8" s="26">
        <v>1</v>
      </c>
      <c r="G8" s="31">
        <v>43132</v>
      </c>
      <c r="H8" s="31">
        <f t="shared" ref="H7:H8" si="6">G8+F8</f>
        <v>43133</v>
      </c>
      <c r="I8" s="32"/>
      <c r="J8" s="32"/>
      <c r="K8" s="30"/>
      <c r="L8" s="30"/>
      <c r="M8" s="30"/>
      <c r="N8" s="33">
        <v>0.65</v>
      </c>
      <c r="O8" s="30"/>
      <c r="P8" s="32"/>
      <c r="Q8" s="34"/>
      <c r="R8" s="47" t="s">
        <v>82</v>
      </c>
      <c r="S8" s="48">
        <v>2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 s="61">
        <v>0.65</v>
      </c>
      <c r="AZ8" s="61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3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 s="57"/>
      <c r="GU8" s="57"/>
      <c r="GV8" s="57"/>
      <c r="GW8" s="57"/>
      <c r="GX8" s="58"/>
    </row>
    <row r="9" spans="1:206" s="29" customFormat="1" x14ac:dyDescent="0.2">
      <c r="B9" s="50">
        <f t="shared" si="5"/>
        <v>4</v>
      </c>
      <c r="C9" s="30" t="s">
        <v>44</v>
      </c>
      <c r="D9" s="30"/>
      <c r="E9" s="28"/>
      <c r="F9" s="26">
        <v>2</v>
      </c>
      <c r="G9" s="31">
        <f t="shared" ref="G9:G26" si="7">IF(F9=0,VLOOKUP(O9,$C$6:$O$100,6,FALSE),VLOOKUP(O9,$C$6:$O$100,6,FALSE)+1)</f>
        <v>43134</v>
      </c>
      <c r="H9" s="31">
        <f t="shared" ref="H9:H28" si="8">G9+F9</f>
        <v>43136</v>
      </c>
      <c r="I9" s="32"/>
      <c r="J9" s="32"/>
      <c r="K9" s="30"/>
      <c r="L9" s="30"/>
      <c r="M9" s="30"/>
      <c r="N9" s="33">
        <v>0.72</v>
      </c>
      <c r="O9" s="30" t="s">
        <v>66</v>
      </c>
      <c r="P9" s="32"/>
      <c r="Q9" s="34"/>
      <c r="R9" s="47" t="s">
        <v>82</v>
      </c>
      <c r="S9" s="48">
        <v>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 s="52"/>
      <c r="AZ9" s="52"/>
      <c r="BA9" s="61">
        <v>0.72</v>
      </c>
      <c r="BB9" s="61"/>
      <c r="BC9" s="61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3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 s="57"/>
      <c r="GU9" s="57"/>
      <c r="GV9" s="57"/>
      <c r="GW9" s="57"/>
      <c r="GX9" s="58"/>
    </row>
    <row r="10" spans="1:206" s="29" customFormat="1" x14ac:dyDescent="0.2">
      <c r="B10" s="50">
        <f t="shared" si="5"/>
        <v>5</v>
      </c>
      <c r="C10" s="30" t="s">
        <v>45</v>
      </c>
      <c r="D10" s="30"/>
      <c r="E10" s="28"/>
      <c r="F10" s="26">
        <v>6</v>
      </c>
      <c r="G10" s="31">
        <f t="shared" si="7"/>
        <v>43137</v>
      </c>
      <c r="H10" s="31">
        <f t="shared" si="8"/>
        <v>43143</v>
      </c>
      <c r="I10" s="32"/>
      <c r="J10" s="32"/>
      <c r="K10" s="30"/>
      <c r="L10" s="30"/>
      <c r="M10" s="30"/>
      <c r="N10" s="33">
        <v>0.85</v>
      </c>
      <c r="O10" s="30" t="s">
        <v>67</v>
      </c>
      <c r="P10" s="32"/>
      <c r="Q10" s="34"/>
      <c r="R10" s="47" t="s">
        <v>82</v>
      </c>
      <c r="S10" s="48">
        <v>2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 s="52"/>
      <c r="AZ10" s="52"/>
      <c r="BA10" s="52"/>
      <c r="BB10" s="52"/>
      <c r="BC10" s="52"/>
      <c r="BD10" s="61">
        <v>0.85</v>
      </c>
      <c r="BE10" s="61"/>
      <c r="BF10" s="61"/>
      <c r="BG10" s="61"/>
      <c r="BH10" s="61"/>
      <c r="BI10" s="61"/>
      <c r="BJ10" s="61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3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 s="57"/>
      <c r="GU10" s="57"/>
      <c r="GV10" s="57"/>
      <c r="GW10" s="57"/>
      <c r="GX10" s="58"/>
    </row>
    <row r="11" spans="1:206" x14ac:dyDescent="0.2">
      <c r="B11" s="50">
        <f t="shared" si="5"/>
        <v>6</v>
      </c>
      <c r="C11" s="30" t="s">
        <v>46</v>
      </c>
      <c r="D11" s="43"/>
      <c r="E11" s="28"/>
      <c r="F11" s="26">
        <v>5</v>
      </c>
      <c r="G11" s="31">
        <f t="shared" si="7"/>
        <v>43144</v>
      </c>
      <c r="H11" s="31">
        <f t="shared" si="8"/>
        <v>43149</v>
      </c>
      <c r="I11" s="32"/>
      <c r="J11" s="32"/>
      <c r="K11" s="30"/>
      <c r="L11" s="30"/>
      <c r="M11" s="30"/>
      <c r="N11" s="33">
        <v>0</v>
      </c>
      <c r="O11" s="30" t="s">
        <v>68</v>
      </c>
      <c r="P11" s="32"/>
      <c r="Q11" s="34"/>
      <c r="R11" s="47" t="s">
        <v>82</v>
      </c>
      <c r="S11" s="48">
        <v>1</v>
      </c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9">
        <v>0</v>
      </c>
      <c r="BL11" s="59"/>
      <c r="BM11" s="59"/>
      <c r="BN11" s="59"/>
      <c r="BO11" s="59"/>
      <c r="BP11" s="59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3"/>
      <c r="GT11" s="57"/>
      <c r="GU11" s="57"/>
      <c r="GV11" s="57"/>
      <c r="GW11" s="57"/>
      <c r="GX11" s="58"/>
    </row>
    <row r="12" spans="1:206" x14ac:dyDescent="0.2">
      <c r="B12" s="49">
        <f t="shared" si="5"/>
        <v>7</v>
      </c>
      <c r="C12" s="16" t="s">
        <v>47</v>
      </c>
      <c r="D12" s="21"/>
      <c r="E12" s="27"/>
      <c r="F12" s="42">
        <v>0</v>
      </c>
      <c r="G12" s="18">
        <v>43150</v>
      </c>
      <c r="H12" s="18">
        <v>43158</v>
      </c>
      <c r="I12" s="19"/>
      <c r="J12" s="19"/>
      <c r="K12" s="16"/>
      <c r="L12" s="16"/>
      <c r="M12" s="16"/>
      <c r="N12" s="20">
        <v>0</v>
      </c>
      <c r="O12" s="16"/>
      <c r="P12" s="19"/>
      <c r="Q12" s="25"/>
      <c r="R12" s="45" t="s">
        <v>76</v>
      </c>
      <c r="S12" s="46">
        <v>1</v>
      </c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9">
        <v>0</v>
      </c>
      <c r="BR12" s="59"/>
      <c r="BS12" s="59"/>
      <c r="BT12" s="59"/>
      <c r="BU12" s="59"/>
      <c r="BV12" s="59"/>
      <c r="BW12" s="59"/>
      <c r="BX12" s="59"/>
      <c r="BY12" s="59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3"/>
      <c r="GT12" s="57"/>
      <c r="GU12" s="57"/>
      <c r="GV12" s="57"/>
      <c r="GW12" s="57"/>
      <c r="GX12" s="58"/>
    </row>
    <row r="13" spans="1:206" s="29" customFormat="1" x14ac:dyDescent="0.2">
      <c r="B13" s="50">
        <f t="shared" si="5"/>
        <v>8</v>
      </c>
      <c r="C13" s="30" t="s">
        <v>48</v>
      </c>
      <c r="D13" s="30"/>
      <c r="E13" s="28"/>
      <c r="F13" s="26">
        <v>4</v>
      </c>
      <c r="G13" s="31">
        <f t="shared" si="7"/>
        <v>43150</v>
      </c>
      <c r="H13" s="31">
        <f t="shared" si="8"/>
        <v>43154</v>
      </c>
      <c r="I13" s="32"/>
      <c r="J13" s="32"/>
      <c r="K13" s="30"/>
      <c r="L13" s="30"/>
      <c r="M13" s="30"/>
      <c r="N13" s="33">
        <v>1</v>
      </c>
      <c r="O13" s="30" t="s">
        <v>69</v>
      </c>
      <c r="P13" s="32"/>
      <c r="Q13" s="34"/>
      <c r="R13" s="47" t="s">
        <v>82</v>
      </c>
      <c r="S13" s="48">
        <v>2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6">
        <v>1</v>
      </c>
      <c r="BR13" s="56"/>
      <c r="BS13" s="56"/>
      <c r="BT13" s="56"/>
      <c r="BU13" s="56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 s="57"/>
      <c r="GU13" s="57"/>
      <c r="GV13" s="57"/>
      <c r="GW13" s="57"/>
      <c r="GX13" s="58"/>
    </row>
    <row r="14" spans="1:206" s="29" customFormat="1" x14ac:dyDescent="0.2">
      <c r="B14" s="50">
        <f t="shared" si="5"/>
        <v>9</v>
      </c>
      <c r="C14" s="30" t="s">
        <v>49</v>
      </c>
      <c r="D14" s="30"/>
      <c r="E14" s="28"/>
      <c r="F14" s="26">
        <v>3</v>
      </c>
      <c r="G14" s="31">
        <f t="shared" si="7"/>
        <v>43155</v>
      </c>
      <c r="H14" s="31">
        <f t="shared" si="8"/>
        <v>43158</v>
      </c>
      <c r="I14" s="32"/>
      <c r="J14" s="32"/>
      <c r="K14" s="30"/>
      <c r="L14" s="30"/>
      <c r="M14" s="30"/>
      <c r="N14" s="33">
        <v>0.8</v>
      </c>
      <c r="O14" s="30" t="s">
        <v>70</v>
      </c>
      <c r="P14" s="32"/>
      <c r="Q14" s="34"/>
      <c r="R14" s="47" t="s">
        <v>82</v>
      </c>
      <c r="S14" s="48">
        <v>2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61">
        <v>0.8</v>
      </c>
      <c r="BW14" s="61"/>
      <c r="BX14" s="61"/>
      <c r="BY14" s="61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3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 s="57"/>
      <c r="GU14" s="57"/>
      <c r="GV14" s="57"/>
      <c r="GW14" s="57"/>
      <c r="GX14" s="58"/>
    </row>
    <row r="15" spans="1:206" x14ac:dyDescent="0.2">
      <c r="B15" s="49">
        <f t="shared" si="5"/>
        <v>10</v>
      </c>
      <c r="C15" s="16" t="s">
        <v>50</v>
      </c>
      <c r="D15" s="21"/>
      <c r="E15" s="27"/>
      <c r="F15" s="42"/>
      <c r="G15" s="18">
        <v>43159</v>
      </c>
      <c r="H15" s="18">
        <v>43176</v>
      </c>
      <c r="I15" s="19"/>
      <c r="J15" s="19"/>
      <c r="K15" s="16"/>
      <c r="L15" s="16"/>
      <c r="M15" s="16"/>
      <c r="N15" s="20">
        <v>0</v>
      </c>
      <c r="O15" s="16"/>
      <c r="P15" s="19"/>
      <c r="Q15" s="25"/>
      <c r="R15" s="45" t="s">
        <v>76</v>
      </c>
      <c r="S15" s="46">
        <v>1</v>
      </c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9">
        <v>0</v>
      </c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60"/>
      <c r="GT15" s="57"/>
      <c r="GU15" s="57"/>
      <c r="GV15" s="57"/>
      <c r="GW15" s="57"/>
      <c r="GX15" s="58"/>
    </row>
    <row r="16" spans="1:206" s="29" customFormat="1" x14ac:dyDescent="0.2">
      <c r="B16" s="50">
        <f t="shared" si="5"/>
        <v>11</v>
      </c>
      <c r="C16" s="30" t="s">
        <v>51</v>
      </c>
      <c r="D16" s="30"/>
      <c r="E16" s="28"/>
      <c r="F16" s="26">
        <v>2</v>
      </c>
      <c r="G16" s="31">
        <f t="shared" si="7"/>
        <v>43159</v>
      </c>
      <c r="H16" s="31">
        <f t="shared" si="8"/>
        <v>43161</v>
      </c>
      <c r="I16" s="32"/>
      <c r="J16" s="32"/>
      <c r="K16" s="30"/>
      <c r="L16" s="30"/>
      <c r="M16" s="30"/>
      <c r="N16" s="33">
        <v>0.6</v>
      </c>
      <c r="O16" s="30" t="s">
        <v>71</v>
      </c>
      <c r="P16" s="32"/>
      <c r="Q16" s="34"/>
      <c r="R16" s="47" t="s">
        <v>82</v>
      </c>
      <c r="S16" s="48">
        <v>2</v>
      </c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61">
        <v>0.6</v>
      </c>
      <c r="CA16" s="61"/>
      <c r="CB16" s="61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3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 s="57"/>
      <c r="GU16" s="57"/>
      <c r="GV16" s="57"/>
      <c r="GW16" s="57"/>
      <c r="GX16" s="58"/>
    </row>
    <row r="17" spans="2:206" s="29" customFormat="1" x14ac:dyDescent="0.2">
      <c r="B17" s="50">
        <f t="shared" si="5"/>
        <v>12</v>
      </c>
      <c r="C17" s="30" t="s">
        <v>52</v>
      </c>
      <c r="D17" s="30"/>
      <c r="E17" s="28"/>
      <c r="F17" s="26">
        <v>3</v>
      </c>
      <c r="G17" s="31">
        <f t="shared" si="7"/>
        <v>43162</v>
      </c>
      <c r="H17" s="31">
        <f t="shared" si="8"/>
        <v>43165</v>
      </c>
      <c r="I17" s="32"/>
      <c r="J17" s="32"/>
      <c r="K17" s="30"/>
      <c r="L17" s="30"/>
      <c r="M17" s="30"/>
      <c r="N17" s="33">
        <v>0.1</v>
      </c>
      <c r="O17" s="30" t="s">
        <v>72</v>
      </c>
      <c r="P17" s="32"/>
      <c r="Q17" s="34"/>
      <c r="R17" s="47" t="s">
        <v>82</v>
      </c>
      <c r="S17" s="48">
        <v>2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61">
        <v>0.1</v>
      </c>
      <c r="CD17" s="61"/>
      <c r="CE17" s="61"/>
      <c r="CF17" s="61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3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 s="57"/>
      <c r="GU17" s="57"/>
      <c r="GV17" s="57"/>
      <c r="GW17" s="57"/>
      <c r="GX17" s="58"/>
    </row>
    <row r="18" spans="2:206" s="29" customFormat="1" x14ac:dyDescent="0.2">
      <c r="B18" s="50">
        <f t="shared" si="5"/>
        <v>13</v>
      </c>
      <c r="C18" s="30" t="s">
        <v>53</v>
      </c>
      <c r="D18" s="30"/>
      <c r="E18" s="28"/>
      <c r="F18" s="26">
        <v>4</v>
      </c>
      <c r="G18" s="31">
        <f t="shared" si="7"/>
        <v>43166</v>
      </c>
      <c r="H18" s="31">
        <f t="shared" si="8"/>
        <v>43170</v>
      </c>
      <c r="I18" s="32"/>
      <c r="J18" s="32"/>
      <c r="K18" s="30"/>
      <c r="L18" s="30"/>
      <c r="M18" s="30"/>
      <c r="N18" s="33">
        <v>1</v>
      </c>
      <c r="O18" s="30" t="s">
        <v>73</v>
      </c>
      <c r="P18" s="32"/>
      <c r="Q18" s="34"/>
      <c r="R18" s="47" t="s">
        <v>82</v>
      </c>
      <c r="S18" s="48">
        <v>2</v>
      </c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6">
        <v>1</v>
      </c>
      <c r="CH18" s="56"/>
      <c r="CI18" s="56"/>
      <c r="CJ18" s="56"/>
      <c r="CK18" s="56"/>
      <c r="CL18" s="52"/>
      <c r="CM18" s="52"/>
      <c r="CN18" s="52"/>
      <c r="CO18" s="52"/>
      <c r="CP18" s="52"/>
      <c r="CQ18" s="53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 s="57"/>
      <c r="GU18" s="57"/>
      <c r="GV18" s="57"/>
      <c r="GW18" s="57"/>
      <c r="GX18" s="58"/>
    </row>
    <row r="19" spans="2:206" s="29" customFormat="1" x14ac:dyDescent="0.2">
      <c r="B19" s="50">
        <f t="shared" si="5"/>
        <v>14</v>
      </c>
      <c r="C19" s="30" t="s">
        <v>54</v>
      </c>
      <c r="D19" s="30"/>
      <c r="E19" s="28"/>
      <c r="F19" s="26">
        <v>5</v>
      </c>
      <c r="G19" s="31">
        <f t="shared" si="7"/>
        <v>43171</v>
      </c>
      <c r="H19" s="31">
        <f t="shared" si="8"/>
        <v>43176</v>
      </c>
      <c r="I19" s="32"/>
      <c r="J19" s="32"/>
      <c r="K19" s="30"/>
      <c r="L19" s="30"/>
      <c r="M19" s="30"/>
      <c r="N19" s="33"/>
      <c r="O19" s="30" t="s">
        <v>74</v>
      </c>
      <c r="P19" s="32"/>
      <c r="Q19" s="34"/>
      <c r="R19" s="47" t="s">
        <v>82</v>
      </c>
      <c r="S19" s="48">
        <v>2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9"/>
      <c r="CM19" s="59"/>
      <c r="CN19" s="59"/>
      <c r="CO19" s="59"/>
      <c r="CP19" s="59"/>
      <c r="CQ19" s="60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 s="57"/>
      <c r="GU19" s="57"/>
      <c r="GV19" s="57"/>
      <c r="GW19" s="57"/>
      <c r="GX19" s="58"/>
    </row>
    <row r="20" spans="2:206" x14ac:dyDescent="0.2">
      <c r="B20" s="49">
        <f t="shared" si="5"/>
        <v>15</v>
      </c>
      <c r="C20" s="16" t="s">
        <v>55</v>
      </c>
      <c r="D20" s="17"/>
      <c r="E20" s="27"/>
      <c r="F20" s="42">
        <v>1</v>
      </c>
      <c r="G20" s="18">
        <v>43177</v>
      </c>
      <c r="H20" s="18">
        <v>43205</v>
      </c>
      <c r="I20" s="19"/>
      <c r="J20" s="19"/>
      <c r="K20" s="16"/>
      <c r="L20" s="16"/>
      <c r="M20" s="16"/>
      <c r="N20" s="20">
        <v>0</v>
      </c>
      <c r="O20" s="16"/>
      <c r="P20" s="19"/>
      <c r="Q20" s="25"/>
      <c r="R20" s="45" t="s">
        <v>76</v>
      </c>
      <c r="S20" s="46">
        <v>0</v>
      </c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3"/>
      <c r="CR20" s="54">
        <v>0</v>
      </c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DO20" s="54"/>
      <c r="DP20" s="54"/>
      <c r="DQ20" s="54"/>
      <c r="DR20" s="54"/>
      <c r="DS20" s="54"/>
      <c r="DT20" s="54"/>
      <c r="GT20" s="57"/>
      <c r="GU20" s="57"/>
      <c r="GV20" s="57"/>
      <c r="GW20" s="57"/>
      <c r="GX20" s="58"/>
    </row>
    <row r="21" spans="2:206" x14ac:dyDescent="0.2">
      <c r="B21" s="49">
        <f t="shared" si="5"/>
        <v>16</v>
      </c>
      <c r="C21" s="16" t="s">
        <v>56</v>
      </c>
      <c r="D21" s="21"/>
      <c r="E21" s="27"/>
      <c r="F21" s="42">
        <v>0</v>
      </c>
      <c r="G21" s="18">
        <v>43177</v>
      </c>
      <c r="H21" s="18">
        <v>43191</v>
      </c>
      <c r="I21" s="19"/>
      <c r="J21" s="19"/>
      <c r="K21" s="16"/>
      <c r="L21" s="16"/>
      <c r="M21" s="16"/>
      <c r="N21" s="20">
        <v>0</v>
      </c>
      <c r="O21" s="16"/>
      <c r="P21" s="19"/>
      <c r="Q21" s="25"/>
      <c r="R21" s="45" t="s">
        <v>76</v>
      </c>
      <c r="S21" s="46">
        <v>1</v>
      </c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2"/>
      <c r="CM21" s="52"/>
      <c r="CN21" s="52"/>
      <c r="CO21" s="52"/>
      <c r="CP21" s="52"/>
      <c r="CQ21" s="53"/>
      <c r="CR21" s="54">
        <v>0</v>
      </c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GT21" s="57"/>
      <c r="GU21" s="57"/>
      <c r="GV21" s="57"/>
      <c r="GW21" s="57"/>
      <c r="GX21" s="58"/>
    </row>
    <row r="22" spans="2:206" s="29" customFormat="1" x14ac:dyDescent="0.2">
      <c r="B22" s="50">
        <f t="shared" si="5"/>
        <v>17</v>
      </c>
      <c r="C22" s="30" t="s">
        <v>57</v>
      </c>
      <c r="D22" s="30"/>
      <c r="E22" s="28"/>
      <c r="F22" s="26">
        <v>5</v>
      </c>
      <c r="G22" s="31">
        <f t="shared" si="7"/>
        <v>43177</v>
      </c>
      <c r="H22" s="31">
        <f t="shared" si="8"/>
        <v>43182</v>
      </c>
      <c r="I22" s="32"/>
      <c r="J22" s="32"/>
      <c r="K22" s="30"/>
      <c r="L22" s="30"/>
      <c r="M22" s="30"/>
      <c r="N22" s="33">
        <v>0.6</v>
      </c>
      <c r="O22" s="30" t="s">
        <v>75</v>
      </c>
      <c r="P22" s="32"/>
      <c r="Q22" s="34"/>
      <c r="R22" s="47" t="s">
        <v>82</v>
      </c>
      <c r="S22" s="48">
        <v>2</v>
      </c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2"/>
      <c r="CM22" s="52"/>
      <c r="CN22" s="52"/>
      <c r="CO22" s="52"/>
      <c r="CP22" s="52"/>
      <c r="CQ22" s="53"/>
      <c r="CR22" s="55">
        <v>0.6</v>
      </c>
      <c r="CS22" s="55"/>
      <c r="CT22" s="55"/>
      <c r="CU22" s="55"/>
      <c r="CV22" s="55"/>
      <c r="CW22" s="55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 s="57"/>
      <c r="GU22" s="57"/>
      <c r="GV22" s="57"/>
      <c r="GW22" s="57"/>
      <c r="GX22" s="58"/>
    </row>
    <row r="23" spans="2:206" s="29" customFormat="1" x14ac:dyDescent="0.2">
      <c r="B23" s="50">
        <f t="shared" si="5"/>
        <v>18</v>
      </c>
      <c r="C23" s="30" t="s">
        <v>58</v>
      </c>
      <c r="D23" s="30"/>
      <c r="E23" s="28"/>
      <c r="F23" s="26">
        <v>4</v>
      </c>
      <c r="G23" s="31">
        <f t="shared" si="7"/>
        <v>43183</v>
      </c>
      <c r="H23" s="31">
        <f t="shared" si="8"/>
        <v>43187</v>
      </c>
      <c r="I23" s="32"/>
      <c r="J23" s="32"/>
      <c r="K23" s="30"/>
      <c r="L23" s="30"/>
      <c r="M23" s="30"/>
      <c r="N23" s="33">
        <v>0.88</v>
      </c>
      <c r="O23" s="30" t="s">
        <v>77</v>
      </c>
      <c r="P23" s="32"/>
      <c r="Q23" s="34"/>
      <c r="R23" s="47" t="s">
        <v>82</v>
      </c>
      <c r="S23" s="48">
        <v>2</v>
      </c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3"/>
      <c r="CR23"/>
      <c r="CS23"/>
      <c r="CT23"/>
      <c r="CU23"/>
      <c r="CV23"/>
      <c r="CW23"/>
      <c r="CX23" s="55">
        <v>0.88</v>
      </c>
      <c r="CY23" s="55"/>
      <c r="CZ23" s="55"/>
      <c r="DA23" s="55"/>
      <c r="DB23" s="55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 s="57"/>
      <c r="GU23" s="57"/>
      <c r="GV23" s="57"/>
      <c r="GW23" s="57"/>
      <c r="GX23" s="58"/>
    </row>
    <row r="24" spans="2:206" s="29" customFormat="1" x14ac:dyDescent="0.2">
      <c r="B24" s="50">
        <f t="shared" si="5"/>
        <v>19</v>
      </c>
      <c r="C24" s="30" t="s">
        <v>59</v>
      </c>
      <c r="D24" s="30"/>
      <c r="E24" s="28"/>
      <c r="F24" s="26">
        <v>3</v>
      </c>
      <c r="G24" s="31">
        <f t="shared" si="7"/>
        <v>43188</v>
      </c>
      <c r="H24" s="31">
        <f t="shared" si="8"/>
        <v>43191</v>
      </c>
      <c r="I24" s="32"/>
      <c r="J24" s="32"/>
      <c r="K24" s="30"/>
      <c r="L24" s="30"/>
      <c r="M24" s="30"/>
      <c r="N24" s="33">
        <v>0.77</v>
      </c>
      <c r="O24" s="30" t="s">
        <v>78</v>
      </c>
      <c r="P24" s="32"/>
      <c r="Q24" s="34"/>
      <c r="R24" s="47" t="s">
        <v>82</v>
      </c>
      <c r="S24" s="48">
        <v>2</v>
      </c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3"/>
      <c r="CR24"/>
      <c r="CS24"/>
      <c r="CT24"/>
      <c r="CU24"/>
      <c r="CV24"/>
      <c r="CW24"/>
      <c r="CX24"/>
      <c r="CY24"/>
      <c r="CZ24"/>
      <c r="DA24"/>
      <c r="DB24"/>
      <c r="DC24" s="55">
        <v>0.77</v>
      </c>
      <c r="DD24" s="55"/>
      <c r="DE24" s="55"/>
      <c r="DF24" s="55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 s="57"/>
      <c r="GU24" s="57"/>
      <c r="GV24" s="57"/>
      <c r="GW24" s="57"/>
      <c r="GX24" s="58"/>
    </row>
    <row r="25" spans="2:206" x14ac:dyDescent="0.2">
      <c r="B25" s="49">
        <f t="shared" si="5"/>
        <v>20</v>
      </c>
      <c r="C25" s="16" t="s">
        <v>60</v>
      </c>
      <c r="D25" s="21"/>
      <c r="E25" s="27"/>
      <c r="F25" s="42">
        <v>0</v>
      </c>
      <c r="G25" s="18">
        <v>43192</v>
      </c>
      <c r="H25" s="18">
        <v>43205</v>
      </c>
      <c r="I25" s="19"/>
      <c r="J25" s="19"/>
      <c r="K25" s="16"/>
      <c r="L25" s="16"/>
      <c r="M25" s="16"/>
      <c r="N25" s="20">
        <v>0</v>
      </c>
      <c r="O25" s="16"/>
      <c r="P25" s="19"/>
      <c r="Q25" s="25"/>
      <c r="R25" s="45" t="s">
        <v>76</v>
      </c>
      <c r="S25" s="46">
        <v>1</v>
      </c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  <c r="CP25" s="52"/>
      <c r="CQ25" s="53"/>
      <c r="DG25" s="54">
        <v>0</v>
      </c>
      <c r="DH25" s="54"/>
      <c r="DI25" s="54"/>
      <c r="DJ25" s="54"/>
      <c r="DK25" s="54"/>
      <c r="DL25" s="54"/>
      <c r="DM25" s="54"/>
      <c r="DN25" s="54"/>
      <c r="DO25" s="54"/>
      <c r="DP25" s="54"/>
      <c r="DQ25" s="54"/>
      <c r="DR25" s="54"/>
      <c r="DS25" s="54"/>
      <c r="DT25" s="54"/>
      <c r="GT25" s="57"/>
      <c r="GU25" s="57"/>
      <c r="GV25" s="57"/>
      <c r="GW25" s="57"/>
      <c r="GX25" s="58"/>
    </row>
    <row r="26" spans="2:206" s="29" customFormat="1" x14ac:dyDescent="0.2">
      <c r="B26" s="50">
        <f t="shared" si="5"/>
        <v>21</v>
      </c>
      <c r="C26" s="30" t="s">
        <v>61</v>
      </c>
      <c r="D26" s="30"/>
      <c r="E26" s="28"/>
      <c r="F26" s="26">
        <v>2</v>
      </c>
      <c r="G26" s="31">
        <f t="shared" si="7"/>
        <v>43192</v>
      </c>
      <c r="H26" s="31">
        <f t="shared" si="8"/>
        <v>43194</v>
      </c>
      <c r="I26" s="32"/>
      <c r="J26" s="32"/>
      <c r="K26" s="30"/>
      <c r="L26" s="30"/>
      <c r="M26" s="30"/>
      <c r="N26" s="33">
        <v>0.56000000000000005</v>
      </c>
      <c r="O26" s="30" t="s">
        <v>79</v>
      </c>
      <c r="P26" s="32"/>
      <c r="Q26" s="34"/>
      <c r="R26" s="47" t="s">
        <v>82</v>
      </c>
      <c r="S26" s="48">
        <v>2</v>
      </c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2"/>
      <c r="CM26" s="52"/>
      <c r="CN26" s="52"/>
      <c r="CO26" s="52"/>
      <c r="CP26" s="52"/>
      <c r="CQ26" s="53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 s="55">
        <v>0.56000000000000005</v>
      </c>
      <c r="DH26" s="55"/>
      <c r="DI26" s="55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 s="57"/>
      <c r="GU26" s="57"/>
      <c r="GV26" s="57"/>
      <c r="GW26" s="57"/>
      <c r="GX26" s="58"/>
    </row>
    <row r="27" spans="2:206" s="29" customFormat="1" x14ac:dyDescent="0.2">
      <c r="B27" s="50">
        <f t="shared" si="5"/>
        <v>22</v>
      </c>
      <c r="C27" s="30" t="s">
        <v>62</v>
      </c>
      <c r="D27" s="30"/>
      <c r="E27" s="28"/>
      <c r="F27" s="26">
        <v>5</v>
      </c>
      <c r="G27" s="31">
        <f>IF(F27=0,VLOOKUP(O27,$C$6:$O$100,6,FALSE),VLOOKUP(O27,$C$6:$O$100,6,FALSE)+1)</f>
        <v>43195</v>
      </c>
      <c r="H27" s="31">
        <f t="shared" si="8"/>
        <v>43200</v>
      </c>
      <c r="I27" s="32"/>
      <c r="J27" s="32"/>
      <c r="K27" s="30"/>
      <c r="L27" s="30"/>
      <c r="M27" s="30"/>
      <c r="N27" s="33">
        <v>0.78</v>
      </c>
      <c r="O27" s="30" t="s">
        <v>80</v>
      </c>
      <c r="P27" s="32"/>
      <c r="Q27" s="34"/>
      <c r="R27" s="47" t="s">
        <v>82</v>
      </c>
      <c r="S27" s="48">
        <v>2</v>
      </c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3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 s="55">
        <v>0.78</v>
      </c>
      <c r="DK27" s="55"/>
      <c r="DL27" s="55"/>
      <c r="DM27" s="55"/>
      <c r="DN27" s="55"/>
      <c r="DO27" s="55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 s="57"/>
      <c r="GU27" s="57"/>
      <c r="GV27" s="57"/>
      <c r="GW27" s="57"/>
      <c r="GX27" s="58"/>
    </row>
    <row r="28" spans="2:206" s="29" customFormat="1" x14ac:dyDescent="0.2">
      <c r="B28" s="50">
        <f t="shared" si="5"/>
        <v>23</v>
      </c>
      <c r="C28" s="30" t="s">
        <v>63</v>
      </c>
      <c r="D28" s="30"/>
      <c r="E28" s="28"/>
      <c r="F28" s="26">
        <v>4</v>
      </c>
      <c r="G28" s="31">
        <f>IF(F28=0,VLOOKUP(O28,$C$6:$O$100,6,FALSE),VLOOKUP(O28,$C$6:$O$100,6,FALSE)+1)</f>
        <v>43201</v>
      </c>
      <c r="H28" s="31">
        <f t="shared" si="8"/>
        <v>43205</v>
      </c>
      <c r="I28" s="32"/>
      <c r="J28" s="32"/>
      <c r="K28" s="30"/>
      <c r="L28" s="30"/>
      <c r="M28" s="30"/>
      <c r="N28" s="33">
        <v>0.69</v>
      </c>
      <c r="O28" s="30" t="s">
        <v>81</v>
      </c>
      <c r="P28" s="32"/>
      <c r="Q28" s="34"/>
      <c r="R28" s="47" t="s">
        <v>82</v>
      </c>
      <c r="S28" s="48">
        <v>2</v>
      </c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2"/>
      <c r="CM28" s="52"/>
      <c r="CN28" s="52"/>
      <c r="CO28" s="52"/>
      <c r="CP28" s="52"/>
      <c r="CQ28" s="53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 s="55">
        <v>0.69</v>
      </c>
      <c r="DQ28" s="55"/>
      <c r="DR28" s="55"/>
      <c r="DS28" s="55"/>
      <c r="DT28" s="55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 s="57"/>
      <c r="GU28" s="57"/>
      <c r="GV28" s="57"/>
      <c r="GW28" s="57"/>
      <c r="GX28" s="58"/>
    </row>
    <row r="29" spans="2:206" x14ac:dyDescent="0.2"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</row>
    <row r="30" spans="2:206" x14ac:dyDescent="0.2">
      <c r="N30">
        <f>(65+72+85)/300</f>
        <v>0.74</v>
      </c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</row>
    <row r="31" spans="2:206" x14ac:dyDescent="0.2">
      <c r="F31" s="41"/>
      <c r="G31" s="41"/>
      <c r="H31" s="41"/>
      <c r="I31" s="44"/>
      <c r="J31" s="44"/>
      <c r="K31" s="44"/>
      <c r="L31" s="44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</row>
    <row r="32" spans="2:206" x14ac:dyDescent="0.2">
      <c r="I32" s="44"/>
      <c r="J32" s="44"/>
      <c r="K32" s="44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</row>
    <row r="33" spans="20:176" x14ac:dyDescent="0.2"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</row>
  </sheetData>
  <mergeCells count="25">
    <mergeCell ref="DJ27:DO27"/>
    <mergeCell ref="DP28:DT28"/>
    <mergeCell ref="BQ12:BY12"/>
    <mergeCell ref="BZ15:CQ15"/>
    <mergeCell ref="DG25:DT25"/>
    <mergeCell ref="AY7:BJ7"/>
    <mergeCell ref="CR21:DF21"/>
    <mergeCell ref="AY6:CQ6"/>
    <mergeCell ref="CR20:DT20"/>
    <mergeCell ref="AY8:AZ8"/>
    <mergeCell ref="BA9:BC9"/>
    <mergeCell ref="BD10:BJ10"/>
    <mergeCell ref="BK11:BP11"/>
    <mergeCell ref="BQ13:BU13"/>
    <mergeCell ref="BV14:BY14"/>
    <mergeCell ref="BZ16:CB16"/>
    <mergeCell ref="CC17:CF17"/>
    <mergeCell ref="CG18:CK18"/>
    <mergeCell ref="CL19:CQ19"/>
    <mergeCell ref="CR22:CW22"/>
    <mergeCell ref="CX23:DB23"/>
    <mergeCell ref="DC24:DF24"/>
    <mergeCell ref="DG26:DI26"/>
    <mergeCell ref="F31:H31"/>
    <mergeCell ref="X1:AA1"/>
  </mergeCells>
  <phoneticPr fontId="1" type="noConversion"/>
  <conditionalFormatting sqref="T5:GX5">
    <cfRule type="cellIs" dxfId="1" priority="26" operator="equal">
      <formula>"日"</formula>
    </cfRule>
    <cfRule type="cellIs" dxfId="0" priority="27" operator="equal">
      <formula>"六"</formula>
    </cfRule>
  </conditionalFormatting>
  <conditionalFormatting sqref="E11">
    <cfRule type="dataBar" priority="1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{9F8528B3-6F05-48BF-8280-0FDC39D51FAE}</x14:id>
        </ext>
      </extLst>
    </cfRule>
  </conditionalFormatting>
  <conditionalFormatting sqref="E12:E14">
    <cfRule type="dataBar" priority="1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{D3B502B6-56E0-4090-BB97-E3F8B7630949}</x14:id>
        </ext>
      </extLst>
    </cfRule>
  </conditionalFormatting>
  <conditionalFormatting sqref="E15:E17">
    <cfRule type="dataBar" priority="11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{3DBDC71C-C144-46A7-8C03-9FEC65073785}</x14:id>
        </ext>
      </extLst>
    </cfRule>
  </conditionalFormatting>
  <conditionalFormatting sqref="E20:E24">
    <cfRule type="dataBar" priority="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{33C1F81F-4CB2-4215-B563-12830C43C54F}</x14:id>
        </ext>
      </extLst>
    </cfRule>
  </conditionalFormatting>
  <conditionalFormatting sqref="E6:E10 E18:E19">
    <cfRule type="dataBar" priority="3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{26515623-0015-49A5-84B6-81C7A286DE93}</x14:id>
        </ext>
      </extLst>
    </cfRule>
  </conditionalFormatting>
  <conditionalFormatting sqref="E25:E28">
    <cfRule type="dataBar" priority="7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{FD4BF401-4590-4D84-B6A4-214B48D30289}</x14:id>
        </ext>
      </extLst>
    </cfRule>
  </conditionalFormatting>
  <conditionalFormatting sqref="N6:N2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{76F3BAFD-1248-4CFE-B22E-CD501B191BF2}</x14:id>
        </ext>
      </extLst>
    </cfRule>
  </conditionalFormatting>
  <dataValidations count="1">
    <dataValidation type="list" allowBlank="1" showInputMessage="1" showErrorMessage="1" sqref="O6:O28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GanttChart">
                <anchor moveWithCells="1" sizeWithCells="1">
                  <from>
                    <xdr:col>2</xdr:col>
                    <xdr:colOff>238125</xdr:colOff>
                    <xdr:row>2</xdr:row>
                    <xdr:rowOff>28575</xdr:rowOff>
                  </from>
                  <to>
                    <xdr:col>2</xdr:col>
                    <xdr:colOff>1228725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8528B3-6F05-48BF-8280-0FDC39D51F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D3B502B6-56E0-4090-BB97-E3F8B76309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E12:E14</xm:sqref>
        </x14:conditionalFormatting>
        <x14:conditionalFormatting xmlns:xm="http://schemas.microsoft.com/office/excel/2006/main">
          <x14:cfRule type="dataBar" id="{3DBDC71C-C144-46A7-8C03-9FEC650737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E15:E17</xm:sqref>
        </x14:conditionalFormatting>
        <x14:conditionalFormatting xmlns:xm="http://schemas.microsoft.com/office/excel/2006/main">
          <x14:cfRule type="dataBar" id="{33C1F81F-4CB2-4215-B563-12830C43C5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E20:E24</xm:sqref>
        </x14:conditionalFormatting>
        <x14:conditionalFormatting xmlns:xm="http://schemas.microsoft.com/office/excel/2006/main">
          <x14:cfRule type="dataBar" id="{26515623-0015-49A5-84B6-81C7A286DE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E6:E10 E18:E19</xm:sqref>
        </x14:conditionalFormatting>
        <x14:conditionalFormatting xmlns:xm="http://schemas.microsoft.com/office/excel/2006/main">
          <x14:cfRule type="dataBar" id="{FD4BF401-4590-4D84-B6A4-214B48D302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E25:E28</xm:sqref>
        </x14:conditionalFormatting>
        <x14:conditionalFormatting xmlns:xm="http://schemas.microsoft.com/office/excel/2006/main">
          <x14:cfRule type="dataBar" id="{76F3BAFD-1248-4CFE-B22E-CD501B191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Data!$B$4:$B$14</xm:f>
          </x14:formula1>
          <xm:sqref>D6 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workbookViewId="0">
      <selection activeCell="I3" sqref="I3:L3"/>
    </sheetView>
  </sheetViews>
  <sheetFormatPr defaultRowHeight="14.25" x14ac:dyDescent="0.2"/>
  <cols>
    <col min="3" max="3" width="10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t="s">
        <v>15</v>
      </c>
      <c r="C3" t="s">
        <v>31</v>
      </c>
      <c r="D3" t="s">
        <v>34</v>
      </c>
      <c r="G3" t="s">
        <v>20</v>
      </c>
      <c r="I3" t="s">
        <v>35</v>
      </c>
      <c r="J3" s="7"/>
      <c r="K3" t="s">
        <v>36</v>
      </c>
      <c r="L3" s="10"/>
    </row>
    <row r="4" spans="1:174" x14ac:dyDescent="0.2">
      <c r="B4" t="s">
        <v>16</v>
      </c>
      <c r="C4" s="1">
        <v>43128</v>
      </c>
      <c r="D4" s="1">
        <v>43134</v>
      </c>
      <c r="G4" t="s">
        <v>21</v>
      </c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</row>
    <row r="5" spans="1:174" x14ac:dyDescent="0.2">
      <c r="B5" t="s">
        <v>17</v>
      </c>
      <c r="C5" s="1">
        <v>43129</v>
      </c>
      <c r="G5" t="s">
        <v>22</v>
      </c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</row>
    <row r="6" spans="1:174" x14ac:dyDescent="0.2">
      <c r="B6" t="s">
        <v>18</v>
      </c>
      <c r="C6" s="1">
        <v>43151</v>
      </c>
      <c r="G6" t="s">
        <v>23</v>
      </c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</row>
    <row r="7" spans="1:174" x14ac:dyDescent="0.2">
      <c r="B7" t="s">
        <v>19</v>
      </c>
      <c r="C7" s="1">
        <f>C2</f>
        <v>43129</v>
      </c>
      <c r="G7" t="s">
        <v>24</v>
      </c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</row>
    <row r="8" spans="1:174" x14ac:dyDescent="0.2">
      <c r="G8" s="2" t="s">
        <v>25</v>
      </c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</row>
    <row r="9" spans="1:174" x14ac:dyDescent="0.2">
      <c r="G9" s="2" t="s">
        <v>26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</row>
    <row r="10" spans="1:174" x14ac:dyDescent="0.2">
      <c r="G10" t="s">
        <v>27</v>
      </c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</row>
    <row r="11" spans="1:174" x14ac:dyDescent="0.2">
      <c r="G11" s="2" t="s">
        <v>28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</row>
    <row r="12" spans="1:174" x14ac:dyDescent="0.2">
      <c r="G12" s="2" t="s">
        <v>29</v>
      </c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</row>
    <row r="13" spans="1:174" x14ac:dyDescent="0.2">
      <c r="G13" s="2" t="s">
        <v>30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</row>
    <row r="14" spans="1:174" x14ac:dyDescent="0.2"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</row>
    <row r="15" spans="1:174" x14ac:dyDescent="0.2"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</row>
    <row r="16" spans="1:174" x14ac:dyDescent="0.2"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</row>
    <row r="17" spans="10:174" x14ac:dyDescent="0.2"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</row>
    <row r="18" spans="10:174" x14ac:dyDescent="0.2"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</row>
    <row r="19" spans="10:174" x14ac:dyDescent="0.2"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</row>
    <row r="20" spans="10:174" x14ac:dyDescent="0.2">
      <c r="J20" s="7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</row>
    <row r="21" spans="10:174" x14ac:dyDescent="0.2"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</row>
    <row r="22" spans="10:174" x14ac:dyDescent="0.2"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</row>
    <row r="23" spans="10:174" x14ac:dyDescent="0.2"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</row>
    <row r="24" spans="10:174" x14ac:dyDescent="0.2"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</row>
    <row r="25" spans="10:174" x14ac:dyDescent="0.2"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</row>
    <row r="26" spans="10:174" x14ac:dyDescent="0.2"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</row>
    <row r="27" spans="10:174" x14ac:dyDescent="0.2"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</row>
    <row r="28" spans="10:174" x14ac:dyDescent="0.2"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</row>
    <row r="29" spans="10:174" x14ac:dyDescent="0.2"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</row>
    <row r="30" spans="10:174" x14ac:dyDescent="0.2"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</row>
    <row r="31" spans="10:174" x14ac:dyDescent="0.2"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</row>
    <row r="32" spans="10:174" x14ac:dyDescent="0.2"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</row>
    <row r="33" spans="18:174" x14ac:dyDescent="0.2"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</row>
    <row r="34" spans="18:174" x14ac:dyDescent="0.2"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</row>
    <row r="35" spans="18:174" x14ac:dyDescent="0.2"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</row>
    <row r="36" spans="18:174" x14ac:dyDescent="0.2"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</row>
    <row r="37" spans="18:174" x14ac:dyDescent="0.2"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</row>
    <row r="38" spans="18:174" x14ac:dyDescent="0.2"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</row>
    <row r="39" spans="18:174" x14ac:dyDescent="0.2"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</row>
    <row r="40" spans="18:174" x14ac:dyDescent="0.2"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</row>
    <row r="41" spans="18:174" x14ac:dyDescent="0.2"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</row>
    <row r="42" spans="18:174" x14ac:dyDescent="0.2"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</row>
    <row r="43" spans="18:174" x14ac:dyDescent="0.2"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</row>
    <row r="44" spans="18:174" x14ac:dyDescent="0.2"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</row>
    <row r="45" spans="18:174" x14ac:dyDescent="0.2"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</row>
    <row r="46" spans="18:174" x14ac:dyDescent="0.2"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</row>
    <row r="47" spans="18:174" x14ac:dyDescent="0.2"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</row>
    <row r="48" spans="18:174" x14ac:dyDescent="0.2"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</row>
    <row r="49" spans="18:174" x14ac:dyDescent="0.2"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</row>
    <row r="50" spans="18:174" x14ac:dyDescent="0.2"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20"/>
  <sheetViews>
    <sheetView showGridLines="0" topLeftCell="A10" workbookViewId="0">
      <selection activeCell="F22" sqref="F22"/>
    </sheetView>
  </sheetViews>
  <sheetFormatPr defaultRowHeight="14.25" x14ac:dyDescent="0.2"/>
  <cols>
    <col min="1" max="1" width="3.25" customWidth="1"/>
  </cols>
  <sheetData>
    <row r="2" spans="2:14" x14ac:dyDescent="0.2">
      <c r="B2" t="s">
        <v>32</v>
      </c>
    </row>
    <row r="3" spans="2:14" x14ac:dyDescent="0.2">
      <c r="B3" s="3"/>
      <c r="C3" s="5">
        <v>43101</v>
      </c>
      <c r="D3" s="5">
        <v>43132</v>
      </c>
      <c r="E3" s="5">
        <v>43160</v>
      </c>
      <c r="F3" s="5">
        <v>43191</v>
      </c>
      <c r="G3" s="5">
        <v>43221</v>
      </c>
      <c r="H3" s="5">
        <v>43252</v>
      </c>
      <c r="I3" s="5">
        <v>43282</v>
      </c>
      <c r="J3" s="5">
        <v>43313</v>
      </c>
      <c r="K3" s="5">
        <v>43344</v>
      </c>
      <c r="L3" s="5">
        <v>43374</v>
      </c>
      <c r="M3" s="5">
        <v>43405</v>
      </c>
      <c r="N3" s="5">
        <v>43435</v>
      </c>
    </row>
    <row r="4" spans="2:14" x14ac:dyDescent="0.2">
      <c r="B4" s="3" t="s">
        <v>16</v>
      </c>
      <c r="C4" s="4">
        <v>1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x14ac:dyDescent="0.2">
      <c r="B5" s="3" t="s">
        <v>17</v>
      </c>
      <c r="C5" s="4">
        <v>0.2</v>
      </c>
      <c r="D5" s="4"/>
      <c r="E5" s="4">
        <v>0.1</v>
      </c>
      <c r="F5" s="4">
        <v>0.5</v>
      </c>
      <c r="G5" s="4"/>
      <c r="H5" s="4"/>
      <c r="I5" s="4"/>
      <c r="J5" s="4"/>
      <c r="K5" s="4"/>
      <c r="L5" s="4"/>
      <c r="M5" s="4"/>
      <c r="N5" s="4"/>
    </row>
    <row r="6" spans="2:14" x14ac:dyDescent="0.2">
      <c r="B6" s="3" t="s">
        <v>18</v>
      </c>
      <c r="C6" s="4">
        <v>0.45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2:14" x14ac:dyDescent="0.2">
      <c r="B7" s="3" t="s">
        <v>19</v>
      </c>
      <c r="C7" s="4">
        <v>0.9</v>
      </c>
      <c r="D7" s="4"/>
      <c r="E7" s="4"/>
      <c r="F7" s="4"/>
      <c r="G7" s="4"/>
      <c r="H7" s="4"/>
      <c r="I7" s="4"/>
      <c r="J7" s="4">
        <v>1</v>
      </c>
      <c r="K7" s="4">
        <v>1</v>
      </c>
      <c r="L7" s="4">
        <v>1</v>
      </c>
      <c r="M7" s="4">
        <v>1</v>
      </c>
      <c r="N7" s="4">
        <v>1</v>
      </c>
    </row>
    <row r="15" spans="2:14" x14ac:dyDescent="0.2">
      <c r="J15" s="9"/>
    </row>
    <row r="20" spans="10:10" x14ac:dyDescent="0.2">
      <c r="J20" s="9"/>
    </row>
  </sheetData>
  <phoneticPr fontId="1" type="noConversion"/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{D9255864-2356-40DF-B457-4394A312BA61}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255864-2356-40DF-B457-4394A312BA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2018-02-10T16:00:17Z</dcterms:modified>
</cp:coreProperties>
</file>