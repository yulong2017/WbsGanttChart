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0" yWindow="0" windowWidth="28800" windowHeight="12300"/>
  </bookViews>
  <sheets>
    <sheet name="WBS" sheetId="1" r:id="rId1"/>
    <sheet name="Data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U5" i="1" l="1"/>
  <c r="GV5" i="1"/>
  <c r="GT5" i="1"/>
  <c r="GS5" i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S5" i="1" l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R4" i="1"/>
  <c r="R5" i="1" s="1"/>
  <c r="C7" i="2" l="1"/>
  <c r="D2" i="2" s="1"/>
  <c r="C2" i="2"/>
  <c r="G19" i="1"/>
  <c r="H19" i="1" s="1"/>
  <c r="G20" i="1" s="1"/>
  <c r="H20" i="1" s="1"/>
  <c r="G24" i="1"/>
  <c r="H24" i="1" s="1"/>
  <c r="G25" i="1"/>
  <c r="H25" i="1" s="1"/>
  <c r="G26" i="1"/>
  <c r="H26" i="1" s="1"/>
  <c r="G28" i="1"/>
  <c r="H28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H18" i="1"/>
  <c r="H17" i="1"/>
  <c r="G6" i="1" l="1"/>
  <c r="H6" i="1" s="1"/>
  <c r="G7" i="1" s="1"/>
  <c r="H7" i="1" s="1"/>
  <c r="G8" i="1" s="1"/>
  <c r="H8" i="1" s="1"/>
  <c r="G9" i="1" s="1"/>
  <c r="H9" i="1" s="1"/>
  <c r="G14" i="1" s="1"/>
  <c r="H14" i="1" s="1"/>
  <c r="G15" i="1" s="1"/>
  <c r="H15" i="1" s="1"/>
  <c r="G16" i="1" s="1"/>
  <c r="H16" i="1" s="1"/>
  <c r="G10" i="1" l="1"/>
  <c r="H10" i="1" s="1"/>
  <c r="G29" i="1" s="1"/>
  <c r="H29" i="1" s="1"/>
  <c r="G21" i="1"/>
  <c r="H21" i="1" s="1"/>
  <c r="G22" i="1" s="1"/>
  <c r="H22" i="1" s="1"/>
  <c r="G23" i="1" s="1"/>
  <c r="H23" i="1" s="1"/>
  <c r="G11" i="1" l="1"/>
  <c r="H11" i="1" s="1"/>
  <c r="G12" i="1" s="1"/>
  <c r="H12" i="1" s="1"/>
  <c r="G13" i="1" s="1"/>
  <c r="H13" i="1" s="1"/>
  <c r="G27" i="1" s="1"/>
  <c r="H27" i="1" s="1"/>
</calcChain>
</file>

<file path=xl/sharedStrings.xml><?xml version="1.0" encoding="utf-8"?>
<sst xmlns="http://schemas.openxmlformats.org/spreadsheetml/2006/main" count="125" uniqueCount="117">
  <si>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</si>
  <si>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</si>
  <si>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</si>
  <si>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</si>
  <si>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</si>
  <si>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</si>
  <si>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</si>
  <si>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</si>
  <si>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</si>
  <si>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</si>
  <si>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</si>
  <si>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</si>
  <si>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</si>
  <si>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</si>
  <si>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</si>
  <si>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</si>
  <si>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</si>
  <si>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</si>
  <si>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</si>
  <si>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</si>
  <si>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1 学习VBA</t>
    <phoneticPr fontId="1" type="noConversion"/>
  </si>
  <si>
    <t>学习VBA</t>
    <phoneticPr fontId="1" type="noConversion"/>
  </si>
  <si>
    <t xml:space="preserve">  熟悉环境</t>
    <phoneticPr fontId="1" type="noConversion"/>
  </si>
  <si>
    <t xml:space="preserve">    学习基础知识</t>
    <phoneticPr fontId="1" type="noConversion"/>
  </si>
  <si>
    <t xml:space="preserve">      基本语法</t>
    <phoneticPr fontId="1" type="noConversion"/>
  </si>
  <si>
    <t xml:space="preserve">      数据类型</t>
    <phoneticPr fontId="1" type="noConversion"/>
  </si>
  <si>
    <t>1 学习VBA</t>
  </si>
  <si>
    <t xml:space="preserve">  1.1 熟悉环境</t>
  </si>
  <si>
    <t xml:space="preserve">  1.1 熟悉环境</t>
    <phoneticPr fontId="1" type="noConversion"/>
  </si>
  <si>
    <t xml:space="preserve">    1.1.1 学习基础知识</t>
  </si>
  <si>
    <t xml:space="preserve">    1.1.1 学习基础知识</t>
    <phoneticPr fontId="1" type="noConversion"/>
  </si>
  <si>
    <t xml:space="preserve">      1.1.1.1 基本语法</t>
  </si>
  <si>
    <t xml:space="preserve">      1.1.1.1 基本语法</t>
    <phoneticPr fontId="1" type="noConversion"/>
  </si>
  <si>
    <t xml:space="preserve">      1.1.1.2 数据类型</t>
    <phoneticPr fontId="1" type="noConversion"/>
  </si>
  <si>
    <t xml:space="preserve">        整型</t>
    <phoneticPr fontId="1" type="noConversion"/>
  </si>
  <si>
    <t xml:space="preserve">        长整型</t>
    <phoneticPr fontId="1" type="noConversion"/>
  </si>
  <si>
    <t xml:space="preserve">      程序结构</t>
    <phoneticPr fontId="1" type="noConversion"/>
  </si>
  <si>
    <t xml:space="preserve">        顺序</t>
    <phoneticPr fontId="1" type="noConversion"/>
  </si>
  <si>
    <t xml:space="preserve">        分支</t>
    <phoneticPr fontId="1" type="noConversion"/>
  </si>
  <si>
    <t xml:space="preserve">        循环</t>
    <phoneticPr fontId="1" type="noConversion"/>
  </si>
  <si>
    <t>2 学习VBA</t>
  </si>
  <si>
    <t>2 学习VBA</t>
    <phoneticPr fontId="1" type="noConversion"/>
  </si>
  <si>
    <t xml:space="preserve">  2.1 熟悉环境</t>
  </si>
  <si>
    <t xml:space="preserve">  2.1 熟悉环境</t>
    <phoneticPr fontId="1" type="noConversion"/>
  </si>
  <si>
    <t xml:space="preserve">    2.1.1 学习基础知识</t>
  </si>
  <si>
    <t xml:space="preserve">    2.1.1 学习基础知识</t>
    <phoneticPr fontId="1" type="noConversion"/>
  </si>
  <si>
    <t xml:space="preserve">      2.1.1.1 基本语法</t>
  </si>
  <si>
    <t xml:space="preserve">      2.1.1.1 基本语法</t>
    <phoneticPr fontId="1" type="noConversion"/>
  </si>
  <si>
    <t xml:space="preserve">      2.1.1.2 数据类型</t>
  </si>
  <si>
    <t xml:space="preserve">      2.1.1.2 数据类型</t>
    <phoneticPr fontId="1" type="noConversion"/>
  </si>
  <si>
    <t xml:space="preserve">        1.1.1.2.1 整型</t>
  </si>
  <si>
    <t xml:space="preserve">        1.1.1.2.1 整型</t>
    <phoneticPr fontId="1" type="noConversion"/>
  </si>
  <si>
    <t xml:space="preserve">        1.1.1.2.2 长整型</t>
  </si>
  <si>
    <t xml:space="preserve">        1.1.1.2.2 长整型</t>
    <phoneticPr fontId="1" type="noConversion"/>
  </si>
  <si>
    <t xml:space="preserve">      1.1.1.3 程序结构</t>
    <phoneticPr fontId="1" type="noConversion"/>
  </si>
  <si>
    <t xml:space="preserve">        1.1.1.3.1 顺序</t>
  </si>
  <si>
    <t xml:space="preserve">        1.1.1.3.1 顺序</t>
    <phoneticPr fontId="1" type="noConversion"/>
  </si>
  <si>
    <t xml:space="preserve">        1.1.1.3.2 分支</t>
  </si>
  <si>
    <t xml:space="preserve">        1.1.1.3.2 分支</t>
    <phoneticPr fontId="1" type="noConversion"/>
  </si>
  <si>
    <t xml:space="preserve">        1.1.1.3.3 循环</t>
    <phoneticPr fontId="1" type="noConversion"/>
  </si>
  <si>
    <t xml:space="preserve">        2.1.1.2.1 整型</t>
  </si>
  <si>
    <t xml:space="preserve">        2.1.1.2.1 整型</t>
    <phoneticPr fontId="1" type="noConversion"/>
  </si>
  <si>
    <t xml:space="preserve">        2.1.1.2.2 长整型</t>
    <phoneticPr fontId="1" type="noConversion"/>
  </si>
  <si>
    <t xml:space="preserve">      2.1.1.3 程序结构</t>
    <phoneticPr fontId="1" type="noConversion"/>
  </si>
  <si>
    <t xml:space="preserve">        2.1.1.3.1 顺序</t>
    <phoneticPr fontId="1" type="noConversion"/>
  </si>
  <si>
    <t xml:space="preserve">        2.1.1.3.2 分支</t>
    <phoneticPr fontId="1" type="noConversion"/>
  </si>
  <si>
    <t xml:space="preserve">        2.1.1.3.3 循环</t>
    <phoneticPr fontId="1" type="noConversion"/>
  </si>
  <si>
    <t>节假日</t>
    <phoneticPr fontId="1" type="noConversion"/>
  </si>
  <si>
    <t>资源情况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</si>
  <si>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</si>
  <si>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</si>
  <si>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</si>
  <si>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</si>
  <si>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</si>
  <si>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</si>
  <si>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 xml:space="preserve">      2.1.1.4 程序结构</t>
    <phoneticPr fontId="1" type="noConversion"/>
  </si>
  <si>
    <t xml:space="preserve">        2.1.1.4.1 顺序</t>
    <phoneticPr fontId="1" type="noConversion"/>
  </si>
  <si>
    <t xml:space="preserve">        2.1.1.4.2 分支</t>
    <phoneticPr fontId="1" type="noConversion"/>
  </si>
  <si>
    <t xml:space="preserve">        2.1.1.4.3 循环</t>
    <phoneticPr fontId="1" type="noConversion"/>
  </si>
  <si>
    <t xml:space="preserve">    2.1.2 面向对象</t>
    <phoneticPr fontId="1" type="noConversion"/>
  </si>
  <si>
    <t xml:space="preserve">        2.1.2.0.1 顺序</t>
    <phoneticPr fontId="1" type="noConversion"/>
  </si>
  <si>
    <t xml:space="preserve">        2.1.2.0.2 分支</t>
    <phoneticPr fontId="1" type="noConversion"/>
  </si>
  <si>
    <t xml:space="preserve">        2.1.2.0.3 循环</t>
    <phoneticPr fontId="1" type="noConversion"/>
  </si>
  <si>
    <t>ms</t>
    <phoneticPr fontId="1" type="noConversion"/>
  </si>
  <si>
    <t>星期六</t>
    <phoneticPr fontId="1" type="noConversion"/>
  </si>
  <si>
    <t>星期日</t>
    <phoneticPr fontId="1" type="noConversion"/>
  </si>
  <si>
    <t xml:space="preserve">      2.1.2.1 程序结构</t>
    <phoneticPr fontId="1" type="noConversion"/>
  </si>
  <si>
    <t xml:space="preserve">        2.1.2.1.1 顺序</t>
    <phoneticPr fontId="1" type="noConversion"/>
  </si>
  <si>
    <t xml:space="preserve">        2.1.2.1.2 分支</t>
    <phoneticPr fontId="1" type="noConversion"/>
  </si>
  <si>
    <t xml:space="preserve">        2.1.2.1.3 循环</t>
    <phoneticPr fontId="1" type="noConversion"/>
  </si>
  <si>
    <t xml:space="preserve">      2.1.2.2 程序结构</t>
    <phoneticPr fontId="1" type="noConversion"/>
  </si>
  <si>
    <t xml:space="preserve">        2.1.2.2.1 顺序</t>
    <phoneticPr fontId="1" type="noConversion"/>
  </si>
  <si>
    <t xml:space="preserve">        2.1.2.2.2 分支</t>
    <phoneticPr fontId="1" type="noConversion"/>
  </si>
  <si>
    <t xml:space="preserve">        2.1.2.2.3 循环</t>
    <phoneticPr fontId="1" type="noConversion"/>
  </si>
  <si>
    <t xml:space="preserve">    2.1.3 面向对象</t>
    <phoneticPr fontId="1" type="noConversion"/>
  </si>
  <si>
    <t xml:space="preserve">        2.1.3.0.1 顺序</t>
    <phoneticPr fontId="1" type="noConversion"/>
  </si>
  <si>
    <t xml:space="preserve">        2.1.3.0.2 分支</t>
    <phoneticPr fontId="1" type="noConversion"/>
  </si>
  <si>
    <t xml:space="preserve">        2.1.3.0.3 循环</t>
    <phoneticPr fontId="1" type="noConversion"/>
  </si>
  <si>
    <t xml:space="preserve">        2.1.3.0.4 分支</t>
    <phoneticPr fontId="1" type="noConversion"/>
  </si>
  <si>
    <t xml:space="preserve">        2.1.3.0.5 循环</t>
    <phoneticPr fontId="1" type="noConversion"/>
  </si>
  <si>
    <t xml:space="preserve">    2.1.4 面向对象</t>
    <phoneticPr fontId="1" type="noConversion"/>
  </si>
  <si>
    <t xml:space="preserve">        2.1.4.0.1 顺序</t>
    <phoneticPr fontId="1" type="noConversion"/>
  </si>
  <si>
    <t xml:space="preserve">        2.1.4.0.2 分支</t>
    <phoneticPr fontId="1" type="noConversion"/>
  </si>
  <si>
    <t xml:space="preserve">        2.1.4.0.3 循环</t>
    <phoneticPr fontId="1" type="noConversion"/>
  </si>
  <si>
    <t xml:space="preserve">      2.1.4.1 程序结构</t>
    <phoneticPr fontId="1" type="noConversion"/>
  </si>
  <si>
    <t xml:space="preserve">        2.1.4.1.1 顺序</t>
    <phoneticPr fontId="1" type="noConversion"/>
  </si>
  <si>
    <t xml:space="preserve">        2.1.4.1.2 分支</t>
    <phoneticPr fontId="1" type="noConversion"/>
  </si>
  <si>
    <t xml:space="preserve">        2.1.4.1.3 循环</t>
    <phoneticPr fontId="1" type="noConversion"/>
  </si>
  <si>
    <t xml:space="preserve">      2.1.4.2 程序结构</t>
    <phoneticPr fontId="1" type="noConversion"/>
  </si>
  <si>
    <t xml:space="preserve">        2.1.4.2.1 顺序</t>
    <phoneticPr fontId="1" type="noConversion"/>
  </si>
  <si>
    <t xml:space="preserve">        2.1.4.2.2 分支</t>
    <phoneticPr fontId="1" type="noConversion"/>
  </si>
  <si>
    <t xml:space="preserve">        2.1.4.2.3 循环</t>
    <phoneticPr fontId="1" type="noConversion"/>
  </si>
  <si>
    <t xml:space="preserve">    2.1.5 面向对象</t>
    <phoneticPr fontId="1" type="noConversion"/>
  </si>
  <si>
    <t xml:space="preserve">        2.1.5.0.1 顺序</t>
    <phoneticPr fontId="1" type="noConversion"/>
  </si>
  <si>
    <t xml:space="preserve">        2.1.5.0.2 分支</t>
    <phoneticPr fontId="1" type="noConversion"/>
  </si>
  <si>
    <t xml:space="preserve">        2.1.5.0.3 循环</t>
    <phoneticPr fontId="1" type="noConversion"/>
  </si>
  <si>
    <t>2.1.4.1 程序结构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</si>
</sst>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/mm"/>
    <numFmt numFmtId="177" formatCode="0_ "/>
    <numFmt numFmtId="178" formatCode="d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5FFF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63BA6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medium">
        <color rgb="FFFF0000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hair">
        <color theme="4" tint="0.39994506668294322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4" tint="0.39994506668294322"/>
      </left>
      <right style="medium">
        <color rgb="FFFF0000"/>
      </right>
      <top style="hair">
        <color theme="4" tint="0.39991454817346722"/>
      </top>
      <bottom style="hair">
        <color theme="4" tint="0.39994506668294322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4" tint="0.39994506668294322"/>
      </left>
      <right style="medium">
        <color rgb="FFFF0000"/>
      </right>
      <top style="hair">
        <color theme="4" tint="0.39994506668294322"/>
      </top>
      <bottom style="hair">
        <color theme="4" tint="0.39991454817346722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0" applyBorder="1">
      <alignment vertical="center"/>
    </xf>
    <xf numFmtId="9" fontId="2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14" fontId="0" fillId="0" borderId="2" xfId="0" applyNumberFormat="1" applyBorder="1" applyAlignment="1">
      <alignment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5" borderId="0" xfId="0" applyFill="1">
      <alignment vertical="center"/>
    </xf>
    <xf numFmtId="0" fontId="0" fillId="0" borderId="4" xfId="0" applyFill="1" applyBorder="1">
      <alignment vertical="center"/>
    </xf>
    <xf numFmtId="178" fontId="0" fillId="0" borderId="6" xfId="0" applyNumberFormat="1" applyFill="1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5" xfId="0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5" xfId="0" applyNumberFormat="1" applyBorder="1">
      <alignment vertical="center"/>
    </xf>
    <xf numFmtId="9" fontId="0" fillId="0" borderId="5" xfId="0" applyNumberFormat="1" applyBorder="1" applyAlignment="1">
      <alignment horizontal="center" vertical="center"/>
    </xf>
    <xf numFmtId="9" fontId="0" fillId="0" borderId="5" xfId="0" applyNumberFormat="1" applyBorder="1">
      <alignment vertical="center"/>
    </xf>
    <xf numFmtId="0" fontId="0" fillId="0" borderId="8" xfId="0" applyFill="1" applyBorder="1">
      <alignment vertical="center"/>
    </xf>
    <xf numFmtId="0" fontId="4" fillId="8" borderId="5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0" fontId="3" fillId="0" borderId="5" xfId="0" applyFont="1" applyBorder="1">
      <alignment vertical="center"/>
    </xf>
    <xf numFmtId="0" fontId="3" fillId="0" borderId="5" xfId="0" applyNumberFormat="1" applyFont="1" applyBorder="1">
      <alignment vertical="center"/>
    </xf>
    <xf numFmtId="14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>
      <alignment vertical="center"/>
    </xf>
    <xf numFmtId="9" fontId="3" fillId="0" borderId="5" xfId="0" applyNumberFormat="1" applyFont="1" applyBorder="1" applyAlignment="1">
      <alignment horizontal="center" vertical="center"/>
    </xf>
    <xf numFmtId="9" fontId="3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9" xfId="0" applyFill="1" applyBorder="1">
      <alignment vertical="center"/>
    </xf>
    <xf numFmtId="178" fontId="0" fillId="0" borderId="10" xfId="0" applyNumberFormat="1" applyFill="1" applyBorder="1" applyAlignment="1">
      <alignment horizontal="center" vertical="center"/>
    </xf>
    <xf numFmtId="0" fontId="0" fillId="0" borderId="11" xfId="0" applyFill="1" applyBorder="1">
      <alignment vertical="center"/>
    </xf>
    <xf numFmtId="14" fontId="3" fillId="0" borderId="12" xfId="0" applyNumberFormat="1" applyFont="1" applyBorder="1">
      <alignment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3" xfId="0" applyFill="1" applyBorder="1">
      <alignment vertical="center"/>
    </xf>
    <xf numFmtId="17" fontId="0" fillId="0" borderId="2" xfId="0" applyNumberFormat="1" applyBorder="1" applyAlignment="1">
      <alignment horizontal="center" vertical="center"/>
    </xf>
    <xf numFmtId="177" fontId="6" fillId="0" borderId="5" xfId="0" applyNumberFormat="1" applyFont="1" applyBorder="1" applyAlignment="1">
      <alignment horizontal="center" vertical="center"/>
    </xf>
    <xf numFmtId="9" fontId="7" fillId="0" borderId="5" xfId="0" applyNumberFormat="1" applyFont="1" applyBorder="1" applyAlignment="1">
      <alignment horizontal="center" vertical="center"/>
    </xf>
    <xf numFmtId="9" fontId="6" fillId="0" borderId="5" xfId="0" applyNumberFormat="1" applyFont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263BA6"/>
      <color rgb="FFCED6A8"/>
      <color rgb="FF5FFF91"/>
      <color rgb="FF0066FF"/>
      <color rgb="FF0000FF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2</xdr:row>
          <xdr:rowOff>28575</xdr:rowOff>
        </xdr:from>
        <xdr:to>
          <xdr:col>2</xdr:col>
          <xdr:colOff>1228725</xdr:colOff>
          <xdr:row>3</xdr:row>
          <xdr:rowOff>123825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V70"/>
  <sheetViews>
    <sheetView showGridLines="0" tabSelected="1" zoomScale="55" zoomScaleNormal="55" workbookViewId="0">
      <selection activeCell="K32" sqref="K32"/>
    </sheetView>
  </sheetViews>
  <sheetFormatPr defaultRowHeight="14.25" x14ac:dyDescent="0.2"/>
  <cols>
    <col min="1" max="1" width="3.875" customWidth="1"/>
    <col min="2" max="2" width="4.25" customWidth="1"/>
    <col min="3" max="3" width="20.125" customWidth="1"/>
    <col min="4" max="4" width="5.25" bestFit="1" customWidth="1"/>
    <col min="5" max="5" width="11" bestFit="1" customWidth="1"/>
    <col min="6" max="6" width="5.25" bestFit="1" customWidth="1"/>
    <col min="7" max="10" width="13" bestFit="1" customWidth="1"/>
    <col min="11" max="11" width="11" bestFit="1" customWidth="1"/>
    <col min="13" max="13" width="13" bestFit="1" customWidth="1"/>
    <col min="15" max="15" width="22.125" customWidth="1"/>
    <col min="16" max="17" width="13" bestFit="1" customWidth="1"/>
    <col min="18" max="169" width="3.75" customWidth="1"/>
    <col min="170" max="200" width="3.5" customWidth="1"/>
    <col min="201" max="204" width="2.75" customWidth="1"/>
  </cols>
  <sheetData>
    <row r="1" spans="1:20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204" x14ac:dyDescent="0.2">
      <c r="C2" s="13" t="s">
        <v>73</v>
      </c>
      <c r="D2" s="15"/>
      <c r="E2" s="13" t="s">
        <v>71</v>
      </c>
      <c r="F2" s="26"/>
      <c r="G2" s="13" t="s">
        <v>72</v>
      </c>
      <c r="H2" s="7"/>
      <c r="I2" s="13" t="s">
        <v>74</v>
      </c>
      <c r="J2" s="14"/>
      <c r="K2" s="13" t="s">
        <v>84</v>
      </c>
      <c r="L2" s="33"/>
      <c r="M2" s="13" t="s">
        <v>85</v>
      </c>
      <c r="N2" s="34"/>
    </row>
    <row r="3" spans="1:204" x14ac:dyDescent="0.2">
      <c r="R3" s="8">
        <v>43101</v>
      </c>
      <c r="S3" s="42">
        <v>43102</v>
      </c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>
        <v>1</v>
      </c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>
        <v>1</v>
      </c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>
        <v>1</v>
      </c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>
        <v>1</v>
      </c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9"/>
      <c r="FN3" s="9"/>
      <c r="FO3" s="9"/>
      <c r="FP3" s="9"/>
      <c r="FQ3" s="9"/>
      <c r="FR3" s="9"/>
    </row>
    <row r="4" spans="1:204" x14ac:dyDescent="0.2">
      <c r="R4" s="12">
        <f>R3</f>
        <v>43101</v>
      </c>
      <c r="S4" s="12">
        <v>43102</v>
      </c>
      <c r="T4" s="12">
        <v>43103</v>
      </c>
      <c r="U4" s="12">
        <v>43104</v>
      </c>
      <c r="V4" s="12">
        <v>43105</v>
      </c>
      <c r="W4" s="12">
        <v>43106</v>
      </c>
      <c r="X4" s="12">
        <v>43107</v>
      </c>
      <c r="Y4" s="12">
        <v>43108</v>
      </c>
      <c r="Z4" s="12">
        <v>43109</v>
      </c>
      <c r="AA4" s="12">
        <v>43110</v>
      </c>
      <c r="AB4" s="12">
        <v>43111</v>
      </c>
      <c r="AC4" s="12">
        <v>43112</v>
      </c>
      <c r="AD4" s="12">
        <v>43113</v>
      </c>
      <c r="AE4" s="12">
        <v>43114</v>
      </c>
      <c r="AF4" s="12">
        <v>43115</v>
      </c>
      <c r="AG4" s="12">
        <v>43116</v>
      </c>
      <c r="AH4" s="12">
        <v>43117</v>
      </c>
      <c r="AI4" s="12">
        <v>43118</v>
      </c>
      <c r="AJ4" s="12">
        <v>43119</v>
      </c>
      <c r="AK4" s="12">
        <v>43120</v>
      </c>
      <c r="AL4" s="12">
        <v>43121</v>
      </c>
      <c r="AM4" s="12">
        <v>43122</v>
      </c>
      <c r="AN4" s="12">
        <v>43123</v>
      </c>
      <c r="AO4" s="12">
        <v>43124</v>
      </c>
      <c r="AP4" s="12">
        <v>43125</v>
      </c>
      <c r="AQ4" s="12">
        <v>43126</v>
      </c>
      <c r="AR4" s="12">
        <v>43127</v>
      </c>
      <c r="AS4" s="12">
        <v>43128</v>
      </c>
      <c r="AT4" s="12">
        <v>43129</v>
      </c>
      <c r="AU4" s="12">
        <v>43130</v>
      </c>
      <c r="AV4" s="12">
        <v>43131</v>
      </c>
      <c r="AW4" s="12">
        <v>43132</v>
      </c>
      <c r="AX4" s="12">
        <v>43133</v>
      </c>
      <c r="AY4" s="12">
        <v>43134</v>
      </c>
      <c r="AZ4" s="12">
        <v>43135</v>
      </c>
      <c r="BA4" s="12">
        <v>43136</v>
      </c>
      <c r="BB4" s="12">
        <v>43137</v>
      </c>
      <c r="BC4" s="12">
        <v>43138</v>
      </c>
      <c r="BD4" s="12">
        <v>43139</v>
      </c>
      <c r="BE4" s="12">
        <v>43140</v>
      </c>
      <c r="BF4" s="12">
        <v>43141</v>
      </c>
      <c r="BG4" s="12">
        <v>43142</v>
      </c>
      <c r="BH4" s="12">
        <v>43143</v>
      </c>
      <c r="BI4" s="12">
        <v>43144</v>
      </c>
      <c r="BJ4" s="12">
        <v>43145</v>
      </c>
      <c r="BK4" s="12">
        <v>43146</v>
      </c>
      <c r="BL4" s="12">
        <v>43147</v>
      </c>
      <c r="BM4" s="12">
        <v>43148</v>
      </c>
      <c r="BN4" s="12">
        <v>43149</v>
      </c>
      <c r="BO4" s="12">
        <v>43150</v>
      </c>
      <c r="BP4" s="12">
        <v>43151</v>
      </c>
      <c r="BQ4" s="12">
        <v>43152</v>
      </c>
      <c r="BR4" s="12">
        <v>43153</v>
      </c>
      <c r="BS4" s="12">
        <v>43154</v>
      </c>
      <c r="BT4" s="12">
        <v>43155</v>
      </c>
      <c r="BU4" s="12">
        <v>43156</v>
      </c>
      <c r="BV4" s="12">
        <v>43157</v>
      </c>
      <c r="BW4" s="12">
        <v>43158</v>
      </c>
      <c r="BX4" s="12">
        <v>43159</v>
      </c>
      <c r="BY4" s="12">
        <v>43160</v>
      </c>
      <c r="BZ4" s="12">
        <v>43161</v>
      </c>
      <c r="CA4" s="12">
        <v>43162</v>
      </c>
      <c r="CB4" s="12">
        <v>43163</v>
      </c>
      <c r="CC4" s="12">
        <v>43164</v>
      </c>
      <c r="CD4" s="12">
        <v>43165</v>
      </c>
      <c r="CE4" s="12">
        <v>43166</v>
      </c>
      <c r="CF4" s="12">
        <v>43167</v>
      </c>
      <c r="CG4" s="12">
        <v>43168</v>
      </c>
      <c r="CH4" s="12">
        <v>43169</v>
      </c>
      <c r="CI4" s="12">
        <v>43170</v>
      </c>
      <c r="CJ4" s="12">
        <v>43171</v>
      </c>
      <c r="CK4" s="12">
        <v>43172</v>
      </c>
      <c r="CL4" s="12">
        <v>43173</v>
      </c>
      <c r="CM4" s="12">
        <v>43174</v>
      </c>
      <c r="CN4" s="12">
        <v>43175</v>
      </c>
      <c r="CO4" s="12">
        <v>43176</v>
      </c>
      <c r="CP4" s="12">
        <v>43177</v>
      </c>
      <c r="CQ4" s="12">
        <v>43178</v>
      </c>
      <c r="CR4" s="12">
        <v>43179</v>
      </c>
      <c r="CS4" s="12">
        <v>43180</v>
      </c>
      <c r="CT4" s="12">
        <v>43181</v>
      </c>
      <c r="CU4" s="12">
        <v>43182</v>
      </c>
      <c r="CV4" s="12">
        <v>43183</v>
      </c>
      <c r="CW4" s="12">
        <v>43184</v>
      </c>
      <c r="CX4" s="12">
        <v>43185</v>
      </c>
      <c r="CY4" s="12">
        <v>43186</v>
      </c>
      <c r="CZ4" s="12">
        <v>43187</v>
      </c>
      <c r="DA4" s="12">
        <v>43188</v>
      </c>
      <c r="DB4" s="12">
        <v>43189</v>
      </c>
      <c r="DC4" s="12">
        <v>43190</v>
      </c>
      <c r="DD4" s="12">
        <v>43191</v>
      </c>
      <c r="DE4" s="12">
        <v>43192</v>
      </c>
      <c r="DF4" s="12">
        <v>43193</v>
      </c>
      <c r="DG4" s="12">
        <v>43194</v>
      </c>
      <c r="DH4" s="12">
        <v>43195</v>
      </c>
      <c r="DI4" s="12">
        <v>43196</v>
      </c>
      <c r="DJ4" s="12">
        <v>43197</v>
      </c>
      <c r="DK4" s="12">
        <v>43198</v>
      </c>
      <c r="DL4" s="12">
        <v>43199</v>
      </c>
      <c r="DM4" s="12">
        <v>43200</v>
      </c>
      <c r="DN4" s="12">
        <v>43201</v>
      </c>
      <c r="DO4" s="12">
        <v>43202</v>
      </c>
      <c r="DP4" s="12">
        <v>43203</v>
      </c>
      <c r="DQ4" s="12">
        <v>43204</v>
      </c>
      <c r="DR4" s="12">
        <v>43205</v>
      </c>
      <c r="DS4" s="12">
        <v>43206</v>
      </c>
      <c r="DT4" s="12">
        <v>43207</v>
      </c>
      <c r="DU4" s="12">
        <v>43208</v>
      </c>
      <c r="DV4" s="12">
        <v>43209</v>
      </c>
      <c r="DW4" s="12">
        <v>43210</v>
      </c>
      <c r="DX4" s="12">
        <v>43211</v>
      </c>
      <c r="DY4" s="12">
        <v>43212</v>
      </c>
      <c r="DZ4" s="12">
        <v>43213</v>
      </c>
      <c r="EA4" s="12">
        <v>43214</v>
      </c>
      <c r="EB4" s="12">
        <v>43215</v>
      </c>
      <c r="EC4" s="12">
        <v>43216</v>
      </c>
      <c r="ED4" s="12">
        <v>43217</v>
      </c>
      <c r="EE4" s="12">
        <v>43218</v>
      </c>
      <c r="EF4" s="12">
        <v>43219</v>
      </c>
      <c r="EG4" s="12">
        <v>43220</v>
      </c>
      <c r="EH4" s="12">
        <v>43221</v>
      </c>
      <c r="EI4" s="12">
        <v>43222</v>
      </c>
      <c r="EJ4" s="12">
        <v>43223</v>
      </c>
      <c r="EK4" s="12">
        <v>43224</v>
      </c>
      <c r="EL4" s="12">
        <v>43225</v>
      </c>
      <c r="EM4" s="12">
        <v>43226</v>
      </c>
      <c r="EN4" s="12">
        <v>43227</v>
      </c>
      <c r="EO4" s="12">
        <v>43228</v>
      </c>
      <c r="EP4" s="12">
        <v>43229</v>
      </c>
      <c r="EQ4" s="12">
        <v>43230</v>
      </c>
      <c r="ER4" s="12">
        <v>43231</v>
      </c>
      <c r="ES4" s="12">
        <v>43232</v>
      </c>
      <c r="ET4" s="12">
        <v>43233</v>
      </c>
      <c r="EU4" s="12">
        <v>43234</v>
      </c>
      <c r="EV4" s="12">
        <v>43235</v>
      </c>
      <c r="EW4" s="12">
        <v>43236</v>
      </c>
      <c r="EX4" s="12">
        <v>43237</v>
      </c>
      <c r="EY4" s="12">
        <v>43238</v>
      </c>
      <c r="EZ4" s="12">
        <v>43239</v>
      </c>
      <c r="FA4" s="12">
        <v>43240</v>
      </c>
      <c r="FB4" s="12">
        <v>43241</v>
      </c>
      <c r="FC4" s="12">
        <v>43242</v>
      </c>
      <c r="FD4" s="12">
        <v>43243</v>
      </c>
      <c r="FE4" s="12">
        <v>43244</v>
      </c>
      <c r="FF4" s="12">
        <v>43245</v>
      </c>
      <c r="FG4" s="12">
        <v>43246</v>
      </c>
      <c r="FH4" s="12">
        <v>43247</v>
      </c>
      <c r="FI4" s="12">
        <v>43248</v>
      </c>
      <c r="FJ4" s="12">
        <v>43249</v>
      </c>
      <c r="FK4" s="12">
        <v>43250</v>
      </c>
      <c r="FL4" s="12">
        <v>43251</v>
      </c>
      <c r="FM4" s="12">
        <v>43252</v>
      </c>
      <c r="FN4" s="12">
        <v>43253</v>
      </c>
      <c r="FO4" s="12">
        <v>43254</v>
      </c>
      <c r="FP4" s="12">
        <v>43255</v>
      </c>
      <c r="FQ4" s="12">
        <v>43256</v>
      </c>
      <c r="FR4" s="12">
        <v>43257</v>
      </c>
      <c r="FS4" s="12">
        <v>43258</v>
      </c>
      <c r="FT4" s="12">
        <v>43259</v>
      </c>
      <c r="FU4" s="12">
        <v>43260</v>
      </c>
      <c r="FV4" s="12">
        <v>43261</v>
      </c>
      <c r="FW4" s="12">
        <v>43262</v>
      </c>
      <c r="FX4" s="12">
        <v>43263</v>
      </c>
      <c r="FY4" s="12">
        <v>43264</v>
      </c>
      <c r="FZ4" s="12">
        <v>43265</v>
      </c>
      <c r="GA4" s="12">
        <v>43266</v>
      </c>
      <c r="GB4" s="12">
        <v>43267</v>
      </c>
      <c r="GC4" s="12">
        <v>43268</v>
      </c>
      <c r="GD4" s="12">
        <v>43269</v>
      </c>
      <c r="GE4" s="12">
        <v>43270</v>
      </c>
      <c r="GF4" s="12">
        <v>43271</v>
      </c>
      <c r="GG4" s="12">
        <v>43272</v>
      </c>
      <c r="GH4" s="12">
        <v>43273</v>
      </c>
      <c r="GI4" s="12">
        <v>43274</v>
      </c>
      <c r="GJ4" s="12">
        <v>43275</v>
      </c>
      <c r="GK4" s="12">
        <v>43276</v>
      </c>
      <c r="GL4" s="12">
        <v>43277</v>
      </c>
      <c r="GM4" s="12">
        <v>43278</v>
      </c>
      <c r="GN4" s="12">
        <v>43279</v>
      </c>
      <c r="GO4" s="12">
        <v>43280</v>
      </c>
      <c r="GP4" s="12">
        <v>43281</v>
      </c>
      <c r="GQ4" s="12">
        <v>43282</v>
      </c>
      <c r="GR4" s="12">
        <v>43345</v>
      </c>
      <c r="GS4" s="12">
        <v>43346</v>
      </c>
      <c r="GT4" s="12">
        <v>43347</v>
      </c>
      <c r="GU4" s="12">
        <v>43348</v>
      </c>
      <c r="GV4" s="12">
        <v>43349</v>
      </c>
    </row>
    <row r="5" spans="1:204" x14ac:dyDescent="0.2">
      <c r="B5" s="25" t="s">
        <v>0</v>
      </c>
      <c r="C5" s="25" t="s">
        <v>1</v>
      </c>
      <c r="D5" s="25" t="s">
        <v>2</v>
      </c>
      <c r="E5" s="25" t="s">
        <v>3</v>
      </c>
      <c r="F5" s="25" t="s">
        <v>69</v>
      </c>
      <c r="G5" s="25" t="s">
        <v>9</v>
      </c>
      <c r="H5" s="25" t="s">
        <v>10</v>
      </c>
      <c r="I5" s="25" t="s">
        <v>11</v>
      </c>
      <c r="J5" s="25" t="s">
        <v>12</v>
      </c>
      <c r="K5" s="25" t="s">
        <v>4</v>
      </c>
      <c r="L5" s="25" t="s">
        <v>5</v>
      </c>
      <c r="M5" s="25" t="s">
        <v>6</v>
      </c>
      <c r="N5" s="25" t="s">
        <v>7</v>
      </c>
      <c r="O5" s="25" t="s">
        <v>8</v>
      </c>
      <c r="P5" s="25" t="s">
        <v>13</v>
      </c>
      <c r="Q5" s="25" t="s">
        <v>14</v>
      </c>
      <c r="R5" s="36" t="str">
        <f>IF(R4="","",CHOOSE(WEEKDAY(R4,2),"一","二","三","四","五","六","日"))</f>
        <v>一</v>
      </c>
      <c r="S5" s="16" t="str">
        <f t="shared" ref="S5:CD5" si="0">IF(S4="","",CHOOSE(WEEKDAY(S4,2),"一","二","三","四","五","六","日"))</f>
        <v>二</v>
      </c>
      <c r="T5" s="16" t="str">
        <f t="shared" si="0"/>
        <v>三</v>
      </c>
      <c r="U5" s="16" t="str">
        <f t="shared" si="0"/>
        <v>四</v>
      </c>
      <c r="V5" s="16" t="str">
        <f t="shared" si="0"/>
        <v>五</v>
      </c>
      <c r="W5" s="16" t="str">
        <f t="shared" si="0"/>
        <v>六</v>
      </c>
      <c r="X5" s="16" t="str">
        <f t="shared" si="0"/>
        <v>日</v>
      </c>
      <c r="Y5" s="16" t="str">
        <f t="shared" si="0"/>
        <v>一</v>
      </c>
      <c r="Z5" s="16" t="str">
        <f t="shared" si="0"/>
        <v>二</v>
      </c>
      <c r="AA5" s="16" t="str">
        <f t="shared" si="0"/>
        <v>三</v>
      </c>
      <c r="AB5" s="16" t="str">
        <f t="shared" si="0"/>
        <v>四</v>
      </c>
      <c r="AC5" s="16" t="str">
        <f t="shared" si="0"/>
        <v>五</v>
      </c>
      <c r="AD5" s="16" t="str">
        <f t="shared" si="0"/>
        <v>六</v>
      </c>
      <c r="AE5" s="16" t="str">
        <f t="shared" si="0"/>
        <v>日</v>
      </c>
      <c r="AF5" s="16" t="str">
        <f t="shared" si="0"/>
        <v>一</v>
      </c>
      <c r="AG5" s="16" t="str">
        <f t="shared" si="0"/>
        <v>二</v>
      </c>
      <c r="AH5" s="16" t="str">
        <f t="shared" si="0"/>
        <v>三</v>
      </c>
      <c r="AI5" s="16" t="str">
        <f t="shared" si="0"/>
        <v>四</v>
      </c>
      <c r="AJ5" s="16" t="str">
        <f t="shared" si="0"/>
        <v>五</v>
      </c>
      <c r="AK5" s="16" t="str">
        <f t="shared" si="0"/>
        <v>六</v>
      </c>
      <c r="AL5" s="16" t="str">
        <f t="shared" si="0"/>
        <v>日</v>
      </c>
      <c r="AM5" s="16" t="str">
        <f t="shared" si="0"/>
        <v>一</v>
      </c>
      <c r="AN5" s="16" t="str">
        <f t="shared" si="0"/>
        <v>二</v>
      </c>
      <c r="AO5" s="16" t="str">
        <f t="shared" si="0"/>
        <v>三</v>
      </c>
      <c r="AP5" s="16" t="str">
        <f t="shared" si="0"/>
        <v>四</v>
      </c>
      <c r="AQ5" s="16" t="str">
        <f t="shared" si="0"/>
        <v>五</v>
      </c>
      <c r="AR5" s="16" t="str">
        <f t="shared" si="0"/>
        <v>六</v>
      </c>
      <c r="AS5" s="16" t="str">
        <f t="shared" si="0"/>
        <v>日</v>
      </c>
      <c r="AT5" s="16" t="str">
        <f t="shared" si="0"/>
        <v>一</v>
      </c>
      <c r="AU5" s="16" t="str">
        <f t="shared" si="0"/>
        <v>二</v>
      </c>
      <c r="AV5" s="16" t="str">
        <f t="shared" si="0"/>
        <v>三</v>
      </c>
      <c r="AW5" s="16" t="str">
        <f t="shared" si="0"/>
        <v>四</v>
      </c>
      <c r="AX5" s="16" t="str">
        <f t="shared" si="0"/>
        <v>五</v>
      </c>
      <c r="AY5" s="16" t="str">
        <f t="shared" si="0"/>
        <v>六</v>
      </c>
      <c r="AZ5" s="36" t="str">
        <f t="shared" si="0"/>
        <v>日</v>
      </c>
      <c r="BA5" s="16" t="str">
        <f t="shared" si="0"/>
        <v>一</v>
      </c>
      <c r="BB5" s="36" t="str">
        <f t="shared" si="0"/>
        <v>二</v>
      </c>
      <c r="BC5" s="16" t="str">
        <f t="shared" si="0"/>
        <v>三</v>
      </c>
      <c r="BD5" s="16" t="str">
        <f t="shared" si="0"/>
        <v>四</v>
      </c>
      <c r="BE5" s="16" t="str">
        <f t="shared" si="0"/>
        <v>五</v>
      </c>
      <c r="BF5" s="16" t="str">
        <f t="shared" si="0"/>
        <v>六</v>
      </c>
      <c r="BG5" s="16" t="str">
        <f t="shared" si="0"/>
        <v>日</v>
      </c>
      <c r="BH5" s="16" t="str">
        <f t="shared" si="0"/>
        <v>一</v>
      </c>
      <c r="BI5" s="16" t="str">
        <f t="shared" si="0"/>
        <v>二</v>
      </c>
      <c r="BJ5" s="16" t="str">
        <f t="shared" si="0"/>
        <v>三</v>
      </c>
      <c r="BK5" s="16" t="str">
        <f t="shared" si="0"/>
        <v>四</v>
      </c>
      <c r="BL5" s="16" t="str">
        <f t="shared" si="0"/>
        <v>五</v>
      </c>
      <c r="BM5" s="16" t="str">
        <f t="shared" si="0"/>
        <v>六</v>
      </c>
      <c r="BN5" s="16" t="str">
        <f t="shared" si="0"/>
        <v>日</v>
      </c>
      <c r="BO5" s="16" t="str">
        <f t="shared" si="0"/>
        <v>一</v>
      </c>
      <c r="BP5" s="16" t="str">
        <f t="shared" si="0"/>
        <v>二</v>
      </c>
      <c r="BQ5" s="16" t="str">
        <f t="shared" si="0"/>
        <v>三</v>
      </c>
      <c r="BR5" s="16" t="str">
        <f t="shared" si="0"/>
        <v>四</v>
      </c>
      <c r="BS5" s="16" t="str">
        <f t="shared" si="0"/>
        <v>五</v>
      </c>
      <c r="BT5" s="16" t="str">
        <f t="shared" si="0"/>
        <v>六</v>
      </c>
      <c r="BU5" s="16" t="str">
        <f t="shared" si="0"/>
        <v>日</v>
      </c>
      <c r="BV5" s="16" t="str">
        <f t="shared" si="0"/>
        <v>一</v>
      </c>
      <c r="BW5" s="16" t="str">
        <f t="shared" si="0"/>
        <v>二</v>
      </c>
      <c r="BX5" s="16" t="str">
        <f t="shared" si="0"/>
        <v>三</v>
      </c>
      <c r="BY5" s="16" t="str">
        <f t="shared" si="0"/>
        <v>四</v>
      </c>
      <c r="BZ5" s="16" t="str">
        <f t="shared" si="0"/>
        <v>五</v>
      </c>
      <c r="CA5" s="16" t="str">
        <f t="shared" si="0"/>
        <v>六</v>
      </c>
      <c r="CB5" s="16" t="str">
        <f t="shared" si="0"/>
        <v>日</v>
      </c>
      <c r="CC5" s="16" t="str">
        <f t="shared" si="0"/>
        <v>一</v>
      </c>
      <c r="CD5" s="16" t="str">
        <f t="shared" si="0"/>
        <v>二</v>
      </c>
      <c r="CE5" s="16" t="str">
        <f t="shared" ref="CE5:EP5" si="1">IF(CE4="","",CHOOSE(WEEKDAY(CE4,2),"一","二","三","四","五","六","日"))</f>
        <v>三</v>
      </c>
      <c r="CF5" s="16" t="str">
        <f t="shared" si="1"/>
        <v>四</v>
      </c>
      <c r="CG5" s="16" t="str">
        <f t="shared" si="1"/>
        <v>五</v>
      </c>
      <c r="CH5" s="16" t="str">
        <f t="shared" si="1"/>
        <v>六</v>
      </c>
      <c r="CI5" s="16" t="str">
        <f t="shared" si="1"/>
        <v>日</v>
      </c>
      <c r="CJ5" s="16" t="str">
        <f t="shared" si="1"/>
        <v>一</v>
      </c>
      <c r="CK5" s="16" t="str">
        <f t="shared" si="1"/>
        <v>二</v>
      </c>
      <c r="CL5" s="16" t="str">
        <f t="shared" si="1"/>
        <v>三</v>
      </c>
      <c r="CM5" s="16" t="str">
        <f t="shared" si="1"/>
        <v>四</v>
      </c>
      <c r="CN5" s="16" t="str">
        <f t="shared" si="1"/>
        <v>五</v>
      </c>
      <c r="CO5" s="16" t="str">
        <f t="shared" si="1"/>
        <v>六</v>
      </c>
      <c r="CP5" s="16" t="str">
        <f t="shared" si="1"/>
        <v>日</v>
      </c>
      <c r="CQ5" s="16" t="str">
        <f t="shared" si="1"/>
        <v>一</v>
      </c>
      <c r="CR5" s="16" t="str">
        <f t="shared" si="1"/>
        <v>二</v>
      </c>
      <c r="CS5" s="16" t="str">
        <f t="shared" si="1"/>
        <v>三</v>
      </c>
      <c r="CT5" s="16" t="str">
        <f t="shared" si="1"/>
        <v>四</v>
      </c>
      <c r="CU5" s="16" t="str">
        <f t="shared" si="1"/>
        <v>五</v>
      </c>
      <c r="CV5" s="16" t="str">
        <f t="shared" si="1"/>
        <v>六</v>
      </c>
      <c r="CW5" s="16" t="str">
        <f t="shared" si="1"/>
        <v>日</v>
      </c>
      <c r="CX5" s="16" t="str">
        <f t="shared" si="1"/>
        <v>一</v>
      </c>
      <c r="CY5" s="16" t="str">
        <f t="shared" si="1"/>
        <v>二</v>
      </c>
      <c r="CZ5" s="16" t="str">
        <f t="shared" si="1"/>
        <v>三</v>
      </c>
      <c r="DA5" s="16" t="str">
        <f t="shared" si="1"/>
        <v>四</v>
      </c>
      <c r="DB5" s="16" t="str">
        <f t="shared" si="1"/>
        <v>五</v>
      </c>
      <c r="DC5" s="16" t="str">
        <f t="shared" si="1"/>
        <v>六</v>
      </c>
      <c r="DD5" s="16" t="str">
        <f t="shared" si="1"/>
        <v>日</v>
      </c>
      <c r="DE5" s="16" t="str">
        <f t="shared" si="1"/>
        <v>一</v>
      </c>
      <c r="DF5" s="16" t="str">
        <f t="shared" si="1"/>
        <v>二</v>
      </c>
      <c r="DG5" s="16" t="str">
        <f t="shared" si="1"/>
        <v>三</v>
      </c>
      <c r="DH5" s="16" t="str">
        <f t="shared" si="1"/>
        <v>四</v>
      </c>
      <c r="DI5" s="16" t="str">
        <f t="shared" si="1"/>
        <v>五</v>
      </c>
      <c r="DJ5" s="16" t="str">
        <f t="shared" si="1"/>
        <v>六</v>
      </c>
      <c r="DK5" s="16" t="str">
        <f t="shared" si="1"/>
        <v>日</v>
      </c>
      <c r="DL5" s="16" t="str">
        <f t="shared" si="1"/>
        <v>一</v>
      </c>
      <c r="DM5" s="16" t="str">
        <f t="shared" si="1"/>
        <v>二</v>
      </c>
      <c r="DN5" s="16" t="str">
        <f t="shared" si="1"/>
        <v>三</v>
      </c>
      <c r="DO5" s="16" t="str">
        <f t="shared" si="1"/>
        <v>四</v>
      </c>
      <c r="DP5" s="16" t="str">
        <f t="shared" si="1"/>
        <v>五</v>
      </c>
      <c r="DQ5" s="16" t="str">
        <f t="shared" si="1"/>
        <v>六</v>
      </c>
      <c r="DR5" s="16" t="str">
        <f t="shared" si="1"/>
        <v>日</v>
      </c>
      <c r="DS5" s="16" t="str">
        <f t="shared" si="1"/>
        <v>一</v>
      </c>
      <c r="DT5" s="16" t="str">
        <f t="shared" si="1"/>
        <v>二</v>
      </c>
      <c r="DU5" s="16" t="str">
        <f t="shared" si="1"/>
        <v>三</v>
      </c>
      <c r="DV5" s="16" t="str">
        <f t="shared" si="1"/>
        <v>四</v>
      </c>
      <c r="DW5" s="16" t="str">
        <f t="shared" si="1"/>
        <v>五</v>
      </c>
      <c r="DX5" s="16" t="str">
        <f t="shared" si="1"/>
        <v>六</v>
      </c>
      <c r="DY5" s="16" t="str">
        <f t="shared" si="1"/>
        <v>日</v>
      </c>
      <c r="DZ5" s="16" t="str">
        <f t="shared" si="1"/>
        <v>一</v>
      </c>
      <c r="EA5" s="16" t="str">
        <f t="shared" si="1"/>
        <v>二</v>
      </c>
      <c r="EB5" s="16" t="str">
        <f t="shared" si="1"/>
        <v>三</v>
      </c>
      <c r="EC5" s="16" t="str">
        <f t="shared" si="1"/>
        <v>四</v>
      </c>
      <c r="ED5" s="16" t="str">
        <f t="shared" si="1"/>
        <v>五</v>
      </c>
      <c r="EE5" s="16" t="str">
        <f t="shared" si="1"/>
        <v>六</v>
      </c>
      <c r="EF5" s="16" t="str">
        <f t="shared" si="1"/>
        <v>日</v>
      </c>
      <c r="EG5" s="16" t="str">
        <f t="shared" si="1"/>
        <v>一</v>
      </c>
      <c r="EH5" s="16" t="str">
        <f t="shared" si="1"/>
        <v>二</v>
      </c>
      <c r="EI5" s="16" t="str">
        <f t="shared" si="1"/>
        <v>三</v>
      </c>
      <c r="EJ5" s="16" t="str">
        <f t="shared" si="1"/>
        <v>四</v>
      </c>
      <c r="EK5" s="16" t="str">
        <f t="shared" si="1"/>
        <v>五</v>
      </c>
      <c r="EL5" s="16" t="str">
        <f t="shared" si="1"/>
        <v>六</v>
      </c>
      <c r="EM5" s="16" t="str">
        <f t="shared" si="1"/>
        <v>日</v>
      </c>
      <c r="EN5" s="16" t="str">
        <f t="shared" si="1"/>
        <v>一</v>
      </c>
      <c r="EO5" s="16" t="str">
        <f t="shared" si="1"/>
        <v>二</v>
      </c>
      <c r="EP5" s="16" t="str">
        <f t="shared" si="1"/>
        <v>三</v>
      </c>
      <c r="EQ5" s="16" t="str">
        <f t="shared" ref="EQ5:GR5" si="2">IF(EQ4="","",CHOOSE(WEEKDAY(EQ4,2),"一","二","三","四","五","六","日"))</f>
        <v>四</v>
      </c>
      <c r="ER5" s="16" t="str">
        <f t="shared" si="2"/>
        <v>五</v>
      </c>
      <c r="ES5" s="16" t="str">
        <f t="shared" si="2"/>
        <v>六</v>
      </c>
      <c r="ET5" s="16" t="str">
        <f t="shared" si="2"/>
        <v>日</v>
      </c>
      <c r="EU5" s="16" t="str">
        <f t="shared" si="2"/>
        <v>一</v>
      </c>
      <c r="EV5" s="16" t="str">
        <f t="shared" si="2"/>
        <v>二</v>
      </c>
      <c r="EW5" s="16" t="str">
        <f t="shared" si="2"/>
        <v>三</v>
      </c>
      <c r="EX5" s="16" t="str">
        <f t="shared" si="2"/>
        <v>四</v>
      </c>
      <c r="EY5" s="16" t="str">
        <f t="shared" si="2"/>
        <v>五</v>
      </c>
      <c r="EZ5" s="16" t="str">
        <f t="shared" si="2"/>
        <v>六</v>
      </c>
      <c r="FA5" s="16" t="str">
        <f t="shared" si="2"/>
        <v>日</v>
      </c>
      <c r="FB5" s="16" t="str">
        <f t="shared" si="2"/>
        <v>一</v>
      </c>
      <c r="FC5" s="16" t="str">
        <f t="shared" si="2"/>
        <v>二</v>
      </c>
      <c r="FD5" s="16" t="str">
        <f t="shared" si="2"/>
        <v>三</v>
      </c>
      <c r="FE5" s="16" t="str">
        <f t="shared" si="2"/>
        <v>四</v>
      </c>
      <c r="FF5" s="16" t="str">
        <f t="shared" si="2"/>
        <v>五</v>
      </c>
      <c r="FG5" s="16" t="str">
        <f t="shared" si="2"/>
        <v>六</v>
      </c>
      <c r="FH5" s="16" t="str">
        <f t="shared" si="2"/>
        <v>日</v>
      </c>
      <c r="FI5" s="16" t="str">
        <f t="shared" si="2"/>
        <v>一</v>
      </c>
      <c r="FJ5" s="16" t="str">
        <f t="shared" si="2"/>
        <v>二</v>
      </c>
      <c r="FK5" s="16" t="str">
        <f t="shared" si="2"/>
        <v>三</v>
      </c>
      <c r="FL5" s="16" t="str">
        <f t="shared" si="2"/>
        <v>四</v>
      </c>
      <c r="FM5" s="16" t="str">
        <f t="shared" si="2"/>
        <v>五</v>
      </c>
      <c r="FN5" s="16" t="str">
        <f t="shared" si="2"/>
        <v>六</v>
      </c>
      <c r="FO5" s="16" t="str">
        <f t="shared" si="2"/>
        <v>日</v>
      </c>
      <c r="FP5" s="16" t="str">
        <f t="shared" si="2"/>
        <v>一</v>
      </c>
      <c r="FQ5" s="16" t="str">
        <f t="shared" si="2"/>
        <v>二</v>
      </c>
      <c r="FR5" s="16" t="str">
        <f t="shared" si="2"/>
        <v>三</v>
      </c>
      <c r="FS5" s="16" t="str">
        <f t="shared" si="2"/>
        <v>四</v>
      </c>
      <c r="FT5" s="16" t="str">
        <f t="shared" si="2"/>
        <v>五</v>
      </c>
      <c r="FU5" s="16" t="str">
        <f t="shared" si="2"/>
        <v>六</v>
      </c>
      <c r="FV5" s="16" t="str">
        <f t="shared" si="2"/>
        <v>日</v>
      </c>
      <c r="FW5" s="16" t="str">
        <f t="shared" si="2"/>
        <v>一</v>
      </c>
      <c r="FX5" s="16" t="str">
        <f t="shared" si="2"/>
        <v>二</v>
      </c>
      <c r="FY5" s="16" t="str">
        <f t="shared" si="2"/>
        <v>三</v>
      </c>
      <c r="FZ5" s="16" t="str">
        <f t="shared" si="2"/>
        <v>四</v>
      </c>
      <c r="GA5" s="16" t="str">
        <f t="shared" si="2"/>
        <v>五</v>
      </c>
      <c r="GB5" s="16" t="str">
        <f t="shared" si="2"/>
        <v>六</v>
      </c>
      <c r="GC5" s="16" t="str">
        <f t="shared" si="2"/>
        <v>日</v>
      </c>
      <c r="GD5" s="16" t="str">
        <f t="shared" si="2"/>
        <v>一</v>
      </c>
      <c r="GE5" s="16" t="str">
        <f t="shared" si="2"/>
        <v>二</v>
      </c>
      <c r="GF5" s="16" t="str">
        <f t="shared" si="2"/>
        <v>三</v>
      </c>
      <c r="GG5" s="16" t="str">
        <f t="shared" si="2"/>
        <v>四</v>
      </c>
      <c r="GH5" s="16" t="str">
        <f t="shared" si="2"/>
        <v>五</v>
      </c>
      <c r="GI5" s="16" t="str">
        <f t="shared" si="2"/>
        <v>六</v>
      </c>
      <c r="GJ5" s="16" t="str">
        <f t="shared" si="2"/>
        <v>日</v>
      </c>
      <c r="GK5" s="16" t="str">
        <f t="shared" si="2"/>
        <v>一</v>
      </c>
      <c r="GL5" s="16" t="str">
        <f t="shared" si="2"/>
        <v>二</v>
      </c>
      <c r="GM5" s="16" t="str">
        <f t="shared" si="2"/>
        <v>三</v>
      </c>
      <c r="GN5" s="16" t="str">
        <f t="shared" si="2"/>
        <v>四</v>
      </c>
      <c r="GO5" s="16" t="str">
        <f t="shared" si="2"/>
        <v>五</v>
      </c>
      <c r="GP5" s="16" t="str">
        <f t="shared" si="2"/>
        <v>六</v>
      </c>
      <c r="GQ5" s="16" t="str">
        <f t="shared" si="2"/>
        <v>日</v>
      </c>
      <c r="GR5" s="16" t="str">
        <f t="shared" si="2"/>
        <v>日</v>
      </c>
      <c r="GS5" s="16" t="str">
        <f t="shared" ref="GS5:GT5" si="3">IF(GS4="","",CHOOSE(WEEKDAY(GS4,2),"一","二","三","四","五","六","日"))</f>
        <v>一</v>
      </c>
      <c r="GT5" s="16" t="str">
        <f t="shared" si="3"/>
        <v>二</v>
      </c>
      <c r="GU5" s="16" t="str">
        <f t="shared" ref="GU5:GV5" si="4">IF(GU4="","",CHOOSE(WEEKDAY(GU4,2),"一","二","三","四","五","六","日"))</f>
        <v>三</v>
      </c>
      <c r="GV5" s="16" t="str">
        <f t="shared" si="4"/>
        <v>四</v>
      </c>
    </row>
    <row r="6" spans="1:204" x14ac:dyDescent="0.2">
      <c r="B6" s="18"/>
      <c r="C6" s="27" t="s">
        <v>20</v>
      </c>
      <c r="D6" s="28"/>
      <c r="E6" s="44">
        <v>1</v>
      </c>
      <c r="F6" s="43">
        <v>1</v>
      </c>
      <c r="G6" s="29">
        <f t="shared" ref="G6:G16" si="5">IF(F6=0,VLOOKUP(O6,$C$6:$O$36,6,FALSE),VLOOKUP(O6,$C$6:$O$36,6,FALSE)+1)</f>
        <v>43102</v>
      </c>
      <c r="H6" s="29">
        <f>G6+F6</f>
        <v>43103</v>
      </c>
      <c r="I6" s="30"/>
      <c r="J6" s="30"/>
      <c r="K6" s="27"/>
      <c r="L6" s="27"/>
      <c r="M6" s="27"/>
      <c r="N6" s="31">
        <v>0</v>
      </c>
      <c r="O6" s="27" t="s">
        <v>40</v>
      </c>
      <c r="P6" s="30">
        <v>43102</v>
      </c>
      <c r="Q6" s="38">
        <v>43103</v>
      </c>
      <c r="R6" s="15"/>
      <c r="S6" s="26"/>
      <c r="T6" s="26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35"/>
      <c r="BB6" s="41"/>
      <c r="BC6" s="17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</row>
    <row r="7" spans="1:204" x14ac:dyDescent="0.2">
      <c r="B7" s="18"/>
      <c r="C7" s="27" t="s">
        <v>28</v>
      </c>
      <c r="D7" s="32"/>
      <c r="E7" s="44">
        <v>1</v>
      </c>
      <c r="F7" s="43">
        <v>0</v>
      </c>
      <c r="G7" s="29">
        <f t="shared" si="5"/>
        <v>43103</v>
      </c>
      <c r="H7" s="29">
        <f t="shared" ref="H7:H35" si="6">G7+F7</f>
        <v>43103</v>
      </c>
      <c r="I7" s="30"/>
      <c r="J7" s="30"/>
      <c r="K7" s="27"/>
      <c r="L7" s="27"/>
      <c r="M7" s="27"/>
      <c r="N7" s="31">
        <v>0</v>
      </c>
      <c r="O7" s="27" t="s">
        <v>26</v>
      </c>
      <c r="P7" s="30">
        <v>43103</v>
      </c>
      <c r="Q7" s="38">
        <v>43103</v>
      </c>
      <c r="R7" s="15"/>
      <c r="S7" s="15"/>
      <c r="T7" s="26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35"/>
      <c r="BB7" s="24"/>
      <c r="BC7" s="17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</row>
    <row r="8" spans="1:204" x14ac:dyDescent="0.2">
      <c r="B8" s="18"/>
      <c r="C8" s="27" t="s">
        <v>30</v>
      </c>
      <c r="D8" s="27"/>
      <c r="E8" s="44">
        <v>1</v>
      </c>
      <c r="F8" s="43">
        <v>0</v>
      </c>
      <c r="G8" s="29">
        <f t="shared" si="5"/>
        <v>43103</v>
      </c>
      <c r="H8" s="29">
        <f t="shared" si="6"/>
        <v>43103</v>
      </c>
      <c r="I8" s="30"/>
      <c r="J8" s="30"/>
      <c r="K8" s="27"/>
      <c r="L8" s="27"/>
      <c r="M8" s="27"/>
      <c r="N8" s="31">
        <v>0</v>
      </c>
      <c r="O8" s="27" t="s">
        <v>27</v>
      </c>
      <c r="P8" s="30">
        <v>43103</v>
      </c>
      <c r="Q8" s="38">
        <v>43103</v>
      </c>
      <c r="R8" s="15"/>
      <c r="S8" s="15"/>
      <c r="T8" s="26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35"/>
      <c r="BB8" s="24"/>
      <c r="BC8" s="17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</row>
    <row r="9" spans="1:204" x14ac:dyDescent="0.2">
      <c r="B9" s="18"/>
      <c r="C9" s="18" t="s">
        <v>32</v>
      </c>
      <c r="D9" s="18"/>
      <c r="E9" s="45">
        <v>1</v>
      </c>
      <c r="F9" s="43">
        <v>10</v>
      </c>
      <c r="G9" s="20">
        <f t="shared" si="5"/>
        <v>43104</v>
      </c>
      <c r="H9" s="20">
        <f t="shared" si="6"/>
        <v>43114</v>
      </c>
      <c r="I9" s="21"/>
      <c r="J9" s="21"/>
      <c r="K9" s="18"/>
      <c r="L9" s="18"/>
      <c r="M9" s="18"/>
      <c r="N9" s="22">
        <v>1</v>
      </c>
      <c r="O9" s="18" t="s">
        <v>29</v>
      </c>
      <c r="P9" s="21">
        <v>43104</v>
      </c>
      <c r="Q9" s="39">
        <v>43114</v>
      </c>
      <c r="R9" s="15"/>
      <c r="S9" s="15"/>
      <c r="T9" s="15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35"/>
      <c r="BB9" s="24"/>
      <c r="BC9" s="17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</row>
    <row r="10" spans="1:204" x14ac:dyDescent="0.2">
      <c r="B10" s="18"/>
      <c r="C10" s="18" t="s">
        <v>33</v>
      </c>
      <c r="D10" s="18"/>
      <c r="E10" s="45">
        <v>0.5</v>
      </c>
      <c r="F10" s="43">
        <v>0</v>
      </c>
      <c r="G10" s="20">
        <f t="shared" si="5"/>
        <v>43114</v>
      </c>
      <c r="H10" s="20">
        <f t="shared" si="6"/>
        <v>43114</v>
      </c>
      <c r="I10" s="21"/>
      <c r="J10" s="21"/>
      <c r="K10" s="18"/>
      <c r="L10" s="18"/>
      <c r="M10" s="18"/>
      <c r="N10" s="22">
        <v>1</v>
      </c>
      <c r="O10" s="18" t="s">
        <v>31</v>
      </c>
      <c r="P10" s="21">
        <v>43114</v>
      </c>
      <c r="Q10" s="39">
        <v>43114</v>
      </c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4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35"/>
      <c r="BB10" s="24"/>
      <c r="BC10" s="17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</row>
    <row r="11" spans="1:204" x14ac:dyDescent="0.2">
      <c r="B11" s="18"/>
      <c r="C11" s="23" t="s">
        <v>51</v>
      </c>
      <c r="D11" s="18"/>
      <c r="E11" s="45">
        <v>0</v>
      </c>
      <c r="F11" s="43">
        <v>10</v>
      </c>
      <c r="G11" s="20">
        <f t="shared" si="5"/>
        <v>43171</v>
      </c>
      <c r="H11" s="20">
        <f t="shared" si="6"/>
        <v>43181</v>
      </c>
      <c r="I11" s="21"/>
      <c r="J11" s="21"/>
      <c r="K11" s="18"/>
      <c r="L11" s="18"/>
      <c r="M11" s="18"/>
      <c r="N11" s="22">
        <v>1</v>
      </c>
      <c r="O11" s="18" t="s">
        <v>60</v>
      </c>
      <c r="P11" s="21">
        <v>43124</v>
      </c>
      <c r="Q11" s="39">
        <v>43129</v>
      </c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35"/>
      <c r="BB11" s="24"/>
      <c r="BC11" s="17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</row>
    <row r="12" spans="1:204" x14ac:dyDescent="0.2">
      <c r="B12" s="18"/>
      <c r="C12" s="23" t="s">
        <v>53</v>
      </c>
      <c r="D12" s="18"/>
      <c r="E12" s="45">
        <v>1</v>
      </c>
      <c r="F12" s="43">
        <v>10</v>
      </c>
      <c r="G12" s="20">
        <f t="shared" si="5"/>
        <v>43182</v>
      </c>
      <c r="H12" s="20">
        <f t="shared" si="6"/>
        <v>43192</v>
      </c>
      <c r="I12" s="21"/>
      <c r="J12" s="21"/>
      <c r="K12" s="18"/>
      <c r="L12" s="18"/>
      <c r="M12" s="18"/>
      <c r="N12" s="22">
        <v>1</v>
      </c>
      <c r="O12" s="18" t="s">
        <v>50</v>
      </c>
      <c r="P12" s="21">
        <v>43130</v>
      </c>
      <c r="Q12" s="39">
        <v>43136</v>
      </c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35"/>
      <c r="BB12" s="24"/>
      <c r="BC12" s="17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</row>
    <row r="13" spans="1:204" x14ac:dyDescent="0.2">
      <c r="B13" s="18"/>
      <c r="C13" s="27" t="s">
        <v>54</v>
      </c>
      <c r="D13" s="27"/>
      <c r="E13" s="44">
        <v>1</v>
      </c>
      <c r="F13" s="43">
        <v>0</v>
      </c>
      <c r="G13" s="29">
        <f t="shared" si="5"/>
        <v>43192</v>
      </c>
      <c r="H13" s="29">
        <f t="shared" si="6"/>
        <v>43192</v>
      </c>
      <c r="I13" s="30"/>
      <c r="J13" s="30"/>
      <c r="K13" s="27"/>
      <c r="L13" s="27"/>
      <c r="M13" s="27"/>
      <c r="N13" s="31"/>
      <c r="O13" s="27" t="s">
        <v>52</v>
      </c>
      <c r="P13" s="30">
        <v>43136</v>
      </c>
      <c r="Q13" s="38">
        <v>43136</v>
      </c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35"/>
      <c r="BB13" s="24"/>
      <c r="BC13" s="17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26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</row>
    <row r="14" spans="1:204" x14ac:dyDescent="0.2">
      <c r="B14" s="18"/>
      <c r="C14" s="23" t="s">
        <v>56</v>
      </c>
      <c r="D14" s="18"/>
      <c r="E14" s="45">
        <v>1</v>
      </c>
      <c r="F14" s="43">
        <v>5</v>
      </c>
      <c r="G14" s="20">
        <f t="shared" si="5"/>
        <v>43115</v>
      </c>
      <c r="H14" s="20">
        <f t="shared" si="6"/>
        <v>43120</v>
      </c>
      <c r="I14" s="21"/>
      <c r="J14" s="21"/>
      <c r="K14" s="18"/>
      <c r="L14" s="18"/>
      <c r="M14" s="18"/>
      <c r="N14" s="22">
        <v>0.12</v>
      </c>
      <c r="O14" s="18" t="s">
        <v>31</v>
      </c>
      <c r="P14" s="21">
        <v>43115</v>
      </c>
      <c r="Q14" s="39">
        <v>43116</v>
      </c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26"/>
      <c r="AG14" s="26"/>
      <c r="AH14" s="26"/>
      <c r="AI14" s="26"/>
      <c r="AJ14" s="26"/>
      <c r="AK14" s="26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35"/>
      <c r="BB14" s="24"/>
      <c r="BC14" s="17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</row>
    <row r="15" spans="1:204" x14ac:dyDescent="0.2">
      <c r="B15" s="18"/>
      <c r="C15" s="23" t="s">
        <v>58</v>
      </c>
      <c r="D15" s="18"/>
      <c r="E15" s="45">
        <v>0.5</v>
      </c>
      <c r="F15" s="43">
        <v>6</v>
      </c>
      <c r="G15" s="20">
        <f t="shared" si="5"/>
        <v>43121</v>
      </c>
      <c r="H15" s="20">
        <f t="shared" si="6"/>
        <v>43127</v>
      </c>
      <c r="I15" s="21"/>
      <c r="J15" s="21"/>
      <c r="K15" s="18"/>
      <c r="L15" s="18"/>
      <c r="M15" s="18"/>
      <c r="N15" s="22">
        <v>0.5</v>
      </c>
      <c r="O15" s="18" t="s">
        <v>55</v>
      </c>
      <c r="P15" s="21">
        <v>43117</v>
      </c>
      <c r="Q15" s="39">
        <v>43119</v>
      </c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4"/>
      <c r="AM15" s="14"/>
      <c r="AN15" s="14"/>
      <c r="AO15" s="14"/>
      <c r="AP15" s="14"/>
      <c r="AQ15" s="14"/>
      <c r="AR15" s="14"/>
      <c r="AS15" s="15"/>
      <c r="AT15" s="15"/>
      <c r="AU15" s="15"/>
      <c r="AV15" s="15"/>
      <c r="AW15" s="15"/>
      <c r="AX15" s="15"/>
      <c r="AY15" s="15"/>
      <c r="AZ15" s="15"/>
      <c r="BA15" s="35"/>
      <c r="BB15" s="24"/>
      <c r="BC15" s="17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</row>
    <row r="16" spans="1:204" x14ac:dyDescent="0.2">
      <c r="B16" s="18"/>
      <c r="C16" s="23" t="s">
        <v>59</v>
      </c>
      <c r="D16" s="18"/>
      <c r="E16" s="45">
        <v>0</v>
      </c>
      <c r="F16" s="43">
        <v>5</v>
      </c>
      <c r="G16" s="20">
        <f t="shared" si="5"/>
        <v>43128</v>
      </c>
      <c r="H16" s="20">
        <f t="shared" si="6"/>
        <v>43133</v>
      </c>
      <c r="I16" s="21"/>
      <c r="J16" s="21"/>
      <c r="K16" s="18"/>
      <c r="L16" s="18"/>
      <c r="M16" s="18"/>
      <c r="N16" s="22">
        <v>0.6</v>
      </c>
      <c r="O16" s="18" t="s">
        <v>57</v>
      </c>
      <c r="P16" s="21">
        <v>43120</v>
      </c>
      <c r="Q16" s="39">
        <v>43123</v>
      </c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7"/>
      <c r="AT16" s="7"/>
      <c r="AU16" s="7"/>
      <c r="AV16" s="7"/>
      <c r="AW16" s="7"/>
      <c r="AX16" s="7"/>
      <c r="AY16" s="15"/>
      <c r="AZ16" s="15"/>
      <c r="BA16" s="35"/>
      <c r="BB16" s="24"/>
      <c r="BC16" s="17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</row>
    <row r="17" spans="2:204" x14ac:dyDescent="0.2">
      <c r="B17" s="18"/>
      <c r="C17" s="18" t="s">
        <v>41</v>
      </c>
      <c r="D17" s="18"/>
      <c r="E17" s="45"/>
      <c r="F17" s="43">
        <v>0</v>
      </c>
      <c r="G17" s="20">
        <v>43101</v>
      </c>
      <c r="H17" s="20">
        <f>G17+F17</f>
        <v>43101</v>
      </c>
      <c r="I17" s="21"/>
      <c r="J17" s="21"/>
      <c r="K17" s="18"/>
      <c r="L17" s="18"/>
      <c r="M17" s="18"/>
      <c r="N17" s="22">
        <v>0.9</v>
      </c>
      <c r="O17" s="18"/>
      <c r="P17" s="21">
        <v>43101</v>
      </c>
      <c r="Q17" s="39">
        <v>43101</v>
      </c>
      <c r="R17" s="7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35"/>
      <c r="BB17" s="24"/>
      <c r="BC17" s="17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</row>
    <row r="18" spans="2:204" x14ac:dyDescent="0.2">
      <c r="B18" s="18"/>
      <c r="C18" s="18" t="s">
        <v>43</v>
      </c>
      <c r="D18" s="18"/>
      <c r="E18" s="45">
        <v>0.5</v>
      </c>
      <c r="F18" s="43">
        <v>5</v>
      </c>
      <c r="G18" s="20">
        <v>43159</v>
      </c>
      <c r="H18" s="20">
        <f t="shared" si="6"/>
        <v>43164</v>
      </c>
      <c r="I18" s="21"/>
      <c r="J18" s="21"/>
      <c r="K18" s="18"/>
      <c r="L18" s="18"/>
      <c r="M18" s="18"/>
      <c r="N18" s="22">
        <v>0.8</v>
      </c>
      <c r="O18" s="18"/>
      <c r="P18" s="21"/>
      <c r="Q18" s="39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35"/>
      <c r="BB18" s="24"/>
      <c r="BC18" s="17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4"/>
      <c r="BY18" s="14"/>
      <c r="BZ18" s="14"/>
      <c r="CA18" s="14"/>
      <c r="CB18" s="14"/>
      <c r="CC18" s="14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</row>
    <row r="19" spans="2:204" x14ac:dyDescent="0.2">
      <c r="B19" s="18"/>
      <c r="C19" s="18" t="s">
        <v>45</v>
      </c>
      <c r="D19" s="18"/>
      <c r="E19" s="45">
        <v>0.5</v>
      </c>
      <c r="F19" s="43">
        <v>0</v>
      </c>
      <c r="G19" s="20">
        <f t="shared" ref="G19:G35" si="7">IF(F19=0,VLOOKUP(O19,$C$6:$O$36,6,FALSE),VLOOKUP(O19,$C$6:$O$36,6,FALSE)+1)</f>
        <v>43164</v>
      </c>
      <c r="H19" s="20">
        <f t="shared" si="6"/>
        <v>43164</v>
      </c>
      <c r="I19" s="21"/>
      <c r="J19" s="21"/>
      <c r="K19" s="18"/>
      <c r="L19" s="18"/>
      <c r="M19" s="18"/>
      <c r="N19" s="22">
        <v>0.4</v>
      </c>
      <c r="O19" s="18" t="s">
        <v>42</v>
      </c>
      <c r="P19" s="21"/>
      <c r="Q19" s="39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35"/>
      <c r="BB19" s="24"/>
      <c r="BC19" s="17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4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</row>
    <row r="20" spans="2:204" x14ac:dyDescent="0.2">
      <c r="B20" s="18"/>
      <c r="C20" s="18" t="s">
        <v>47</v>
      </c>
      <c r="D20" s="18"/>
      <c r="E20" s="45">
        <v>1</v>
      </c>
      <c r="F20" s="43">
        <v>0</v>
      </c>
      <c r="G20" s="20">
        <f t="shared" si="7"/>
        <v>43164</v>
      </c>
      <c r="H20" s="20">
        <f t="shared" si="6"/>
        <v>43164</v>
      </c>
      <c r="I20" s="21"/>
      <c r="J20" s="21"/>
      <c r="K20" s="18"/>
      <c r="L20" s="18"/>
      <c r="M20" s="18"/>
      <c r="N20" s="22">
        <v>1</v>
      </c>
      <c r="O20" s="18" t="s">
        <v>44</v>
      </c>
      <c r="P20" s="21"/>
      <c r="Q20" s="39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35"/>
      <c r="BB20" s="24"/>
      <c r="BC20" s="17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26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</row>
    <row r="21" spans="2:204" x14ac:dyDescent="0.2">
      <c r="B21" s="18"/>
      <c r="C21" s="18" t="s">
        <v>49</v>
      </c>
      <c r="D21" s="18"/>
      <c r="E21" s="45">
        <v>0.8</v>
      </c>
      <c r="F21" s="43">
        <v>0</v>
      </c>
      <c r="G21" s="20">
        <f t="shared" si="7"/>
        <v>43164</v>
      </c>
      <c r="H21" s="20">
        <f t="shared" si="6"/>
        <v>43164</v>
      </c>
      <c r="I21" s="21"/>
      <c r="J21" s="21"/>
      <c r="K21" s="18"/>
      <c r="L21" s="18"/>
      <c r="M21" s="18"/>
      <c r="N21" s="22">
        <v>1</v>
      </c>
      <c r="O21" s="18" t="s">
        <v>46</v>
      </c>
      <c r="P21" s="21"/>
      <c r="Q21" s="39" t="s">
        <v>83</v>
      </c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35"/>
      <c r="BB21" s="24"/>
      <c r="BC21" s="17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4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</row>
    <row r="22" spans="2:204" x14ac:dyDescent="0.2">
      <c r="B22" s="18"/>
      <c r="C22" s="23" t="s">
        <v>61</v>
      </c>
      <c r="D22" s="18"/>
      <c r="E22" s="45">
        <v>1</v>
      </c>
      <c r="F22" s="43">
        <v>5</v>
      </c>
      <c r="G22" s="20">
        <f t="shared" si="7"/>
        <v>43165</v>
      </c>
      <c r="H22" s="20">
        <f t="shared" si="6"/>
        <v>43170</v>
      </c>
      <c r="I22" s="21"/>
      <c r="J22" s="21"/>
      <c r="K22" s="18"/>
      <c r="L22" s="18"/>
      <c r="M22" s="18"/>
      <c r="N22" s="22">
        <v>1</v>
      </c>
      <c r="O22" s="18" t="s">
        <v>48</v>
      </c>
      <c r="P22" s="21"/>
      <c r="Q22" s="39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35"/>
      <c r="BB22" s="24"/>
      <c r="BC22" s="17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26"/>
      <c r="CE22" s="26"/>
      <c r="CF22" s="26"/>
      <c r="CG22" s="26"/>
      <c r="CH22" s="26"/>
      <c r="CI22" s="26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</row>
    <row r="23" spans="2:204" x14ac:dyDescent="0.2">
      <c r="B23" s="18"/>
      <c r="C23" s="23" t="s">
        <v>62</v>
      </c>
      <c r="D23" s="18"/>
      <c r="E23" s="45"/>
      <c r="F23" s="19"/>
      <c r="G23" s="20">
        <f t="shared" si="7"/>
        <v>43170</v>
      </c>
      <c r="H23" s="20">
        <f t="shared" si="6"/>
        <v>43170</v>
      </c>
      <c r="I23" s="21"/>
      <c r="J23" s="21"/>
      <c r="K23" s="18"/>
      <c r="L23" s="18"/>
      <c r="M23" s="18"/>
      <c r="N23" s="22"/>
      <c r="O23" s="18" t="s">
        <v>60</v>
      </c>
      <c r="P23" s="21"/>
      <c r="Q23" s="39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35"/>
      <c r="BB23" s="24"/>
      <c r="BC23" s="17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7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</row>
    <row r="24" spans="2:204" x14ac:dyDescent="0.2">
      <c r="B24" s="18"/>
      <c r="C24" s="18" t="s">
        <v>63</v>
      </c>
      <c r="D24" s="18"/>
      <c r="E24" s="45"/>
      <c r="F24" s="19"/>
      <c r="G24" s="20" t="e">
        <f t="shared" si="7"/>
        <v>#N/A</v>
      </c>
      <c r="H24" s="20" t="e">
        <f t="shared" si="6"/>
        <v>#N/A</v>
      </c>
      <c r="I24" s="21"/>
      <c r="J24" s="21"/>
      <c r="K24" s="18"/>
      <c r="L24" s="18"/>
      <c r="M24" s="18"/>
      <c r="N24" s="22"/>
      <c r="O24" s="18" t="s">
        <v>116</v>
      </c>
      <c r="P24" s="21"/>
      <c r="Q24" s="39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35"/>
      <c r="BB24" s="24"/>
      <c r="BC24" s="17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</row>
    <row r="25" spans="2:204" x14ac:dyDescent="0.2">
      <c r="B25" s="18"/>
      <c r="C25" s="23" t="s">
        <v>64</v>
      </c>
      <c r="D25" s="18"/>
      <c r="E25" s="45"/>
      <c r="F25" s="19"/>
      <c r="G25" s="20" t="e">
        <f t="shared" si="7"/>
        <v>#N/A</v>
      </c>
      <c r="H25" s="20" t="e">
        <f t="shared" si="6"/>
        <v>#N/A</v>
      </c>
      <c r="I25" s="21"/>
      <c r="J25" s="21"/>
      <c r="K25" s="18"/>
      <c r="L25" s="18"/>
      <c r="M25" s="18"/>
      <c r="N25" s="22"/>
      <c r="O25" s="18"/>
      <c r="P25" s="21"/>
      <c r="Q25" s="39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35"/>
      <c r="BB25" s="24"/>
      <c r="BC25" s="17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</row>
    <row r="26" spans="2:204" x14ac:dyDescent="0.2">
      <c r="B26" s="18"/>
      <c r="C26" s="23" t="s">
        <v>65</v>
      </c>
      <c r="D26" s="18"/>
      <c r="E26" s="45"/>
      <c r="F26" s="19"/>
      <c r="G26" s="20" t="e">
        <f t="shared" si="7"/>
        <v>#N/A</v>
      </c>
      <c r="H26" s="20" t="e">
        <f t="shared" si="6"/>
        <v>#N/A</v>
      </c>
      <c r="I26" s="21"/>
      <c r="J26" s="21"/>
      <c r="K26" s="18"/>
      <c r="L26" s="18"/>
      <c r="M26" s="18"/>
      <c r="N26" s="22"/>
      <c r="O26" s="18"/>
      <c r="P26" s="21"/>
      <c r="Q26" s="39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35"/>
      <c r="BB26" s="24"/>
      <c r="BC26" s="17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N26" s="15"/>
      <c r="EO26" s="15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15"/>
      <c r="GI26" s="15"/>
      <c r="GJ26" s="15"/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</row>
    <row r="27" spans="2:204" x14ac:dyDescent="0.2">
      <c r="B27" s="18"/>
      <c r="C27" s="23" t="s">
        <v>66</v>
      </c>
      <c r="D27" s="18"/>
      <c r="E27" s="45"/>
      <c r="F27" s="19"/>
      <c r="G27" s="20" t="e">
        <f t="shared" si="7"/>
        <v>#N/A</v>
      </c>
      <c r="H27" s="20" t="e">
        <f t="shared" si="6"/>
        <v>#N/A</v>
      </c>
      <c r="I27" s="21"/>
      <c r="J27" s="21"/>
      <c r="K27" s="18"/>
      <c r="L27" s="18"/>
      <c r="M27" s="18"/>
      <c r="N27" s="22"/>
      <c r="O27" s="18"/>
      <c r="P27" s="21"/>
      <c r="Q27" s="39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35"/>
      <c r="BB27" s="24"/>
      <c r="BC27" s="17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</row>
    <row r="28" spans="2:204" x14ac:dyDescent="0.2">
      <c r="B28" s="18"/>
      <c r="C28" s="18" t="s">
        <v>75</v>
      </c>
      <c r="D28" s="18"/>
      <c r="E28" s="45"/>
      <c r="F28" s="19"/>
      <c r="G28" s="20" t="e">
        <f t="shared" si="7"/>
        <v>#N/A</v>
      </c>
      <c r="H28" s="20" t="e">
        <f t="shared" si="6"/>
        <v>#N/A</v>
      </c>
      <c r="I28" s="21"/>
      <c r="J28" s="21"/>
      <c r="K28" s="18"/>
      <c r="L28" s="18"/>
      <c r="M28" s="18"/>
      <c r="N28" s="22"/>
      <c r="O28" s="18"/>
      <c r="P28" s="21"/>
      <c r="Q28" s="39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35"/>
      <c r="BB28" s="24"/>
      <c r="BC28" s="17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5"/>
      <c r="EG28" s="15"/>
      <c r="EH28" s="15"/>
      <c r="EI28" s="15"/>
      <c r="EJ28" s="15"/>
      <c r="EK28" s="15"/>
      <c r="EL28" s="15"/>
      <c r="EM28" s="15"/>
      <c r="EN28" s="15"/>
      <c r="EO28" s="15"/>
      <c r="EP28" s="15"/>
      <c r="EQ28" s="15"/>
      <c r="ER28" s="15"/>
      <c r="ES28" s="15"/>
      <c r="ET28" s="15"/>
      <c r="EU28" s="15"/>
      <c r="EV28" s="15"/>
      <c r="EW28" s="15"/>
      <c r="EX28" s="15"/>
      <c r="EY28" s="15"/>
      <c r="EZ28" s="15"/>
      <c r="FA28" s="15"/>
      <c r="FB28" s="15"/>
      <c r="FC28" s="15"/>
      <c r="FD28" s="15"/>
      <c r="FE28" s="15"/>
      <c r="FF28" s="15"/>
      <c r="FG28" s="15"/>
      <c r="FH28" s="15"/>
      <c r="FI28" s="15"/>
      <c r="FJ28" s="15"/>
      <c r="FK28" s="15"/>
      <c r="FL28" s="15"/>
      <c r="FM28" s="15"/>
      <c r="FN28" s="15"/>
      <c r="FO28" s="15"/>
      <c r="FP28" s="15"/>
      <c r="FQ28" s="15"/>
      <c r="FR28" s="15"/>
      <c r="FS28" s="15"/>
      <c r="FT28" s="15"/>
      <c r="FU28" s="15"/>
      <c r="FV28" s="15"/>
      <c r="FW28" s="15"/>
      <c r="FX28" s="15"/>
      <c r="FY28" s="15"/>
      <c r="FZ28" s="15"/>
      <c r="GA28" s="15"/>
      <c r="GB28" s="15"/>
      <c r="GC28" s="15"/>
      <c r="GD28" s="15"/>
      <c r="GE28" s="15"/>
      <c r="GF28" s="15"/>
      <c r="GG28" s="15"/>
      <c r="GH28" s="15"/>
      <c r="GI28" s="15"/>
      <c r="GJ28" s="15"/>
      <c r="GK28" s="15"/>
      <c r="GL28" s="15"/>
      <c r="GM28" s="15"/>
      <c r="GN28" s="15"/>
      <c r="GO28" s="15"/>
      <c r="GP28" s="15"/>
      <c r="GQ28" s="15"/>
      <c r="GR28" s="15"/>
      <c r="GS28" s="15"/>
      <c r="GT28" s="15"/>
      <c r="GU28" s="15"/>
      <c r="GV28" s="15"/>
    </row>
    <row r="29" spans="2:204" x14ac:dyDescent="0.2">
      <c r="B29" s="18"/>
      <c r="C29" s="18" t="s">
        <v>76</v>
      </c>
      <c r="D29" s="18"/>
      <c r="E29" s="45"/>
      <c r="F29" s="19"/>
      <c r="G29" s="20" t="e">
        <f t="shared" si="7"/>
        <v>#N/A</v>
      </c>
      <c r="H29" s="20" t="e">
        <f t="shared" si="6"/>
        <v>#N/A</v>
      </c>
      <c r="I29" s="21"/>
      <c r="J29" s="21"/>
      <c r="K29" s="18"/>
      <c r="L29" s="18"/>
      <c r="M29" s="18"/>
      <c r="N29" s="22"/>
      <c r="O29" s="18"/>
      <c r="P29" s="21"/>
      <c r="Q29" s="39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35"/>
      <c r="BB29" s="24"/>
      <c r="BC29" s="17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</row>
    <row r="30" spans="2:204" x14ac:dyDescent="0.2">
      <c r="B30" s="18"/>
      <c r="C30" s="18" t="s">
        <v>77</v>
      </c>
      <c r="D30" s="18"/>
      <c r="E30" s="45"/>
      <c r="F30" s="19"/>
      <c r="G30" s="20" t="e">
        <f t="shared" si="7"/>
        <v>#N/A</v>
      </c>
      <c r="H30" s="20" t="e">
        <f t="shared" si="6"/>
        <v>#N/A</v>
      </c>
      <c r="I30" s="21"/>
      <c r="J30" s="21"/>
      <c r="K30" s="18"/>
      <c r="L30" s="18"/>
      <c r="M30" s="18"/>
      <c r="N30" s="22"/>
      <c r="O30" s="18"/>
      <c r="P30" s="21"/>
      <c r="Q30" s="39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35"/>
      <c r="BB30" s="24"/>
      <c r="BC30" s="17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</row>
    <row r="31" spans="2:204" x14ac:dyDescent="0.2">
      <c r="B31" s="18"/>
      <c r="C31" s="18" t="s">
        <v>78</v>
      </c>
      <c r="D31" s="18"/>
      <c r="E31" s="45"/>
      <c r="F31" s="19"/>
      <c r="G31" s="20" t="e">
        <f t="shared" si="7"/>
        <v>#N/A</v>
      </c>
      <c r="H31" s="20" t="e">
        <f t="shared" si="6"/>
        <v>#N/A</v>
      </c>
      <c r="I31" s="21"/>
      <c r="J31" s="21"/>
      <c r="K31" s="18"/>
      <c r="L31" s="18"/>
      <c r="M31" s="18"/>
      <c r="N31" s="22"/>
      <c r="O31" s="18"/>
      <c r="P31" s="21"/>
      <c r="Q31" s="39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35"/>
      <c r="BB31" s="24"/>
      <c r="BC31" s="17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</row>
    <row r="32" spans="2:204" x14ac:dyDescent="0.2">
      <c r="B32" s="18"/>
      <c r="C32" s="18" t="s">
        <v>79</v>
      </c>
      <c r="D32" s="18"/>
      <c r="E32" s="45"/>
      <c r="F32" s="19"/>
      <c r="G32" s="20" t="e">
        <f t="shared" si="7"/>
        <v>#N/A</v>
      </c>
      <c r="H32" s="20" t="e">
        <f t="shared" si="6"/>
        <v>#N/A</v>
      </c>
      <c r="I32" s="21"/>
      <c r="J32" s="21"/>
      <c r="K32" s="18"/>
      <c r="L32" s="18"/>
      <c r="M32" s="18"/>
      <c r="N32" s="22"/>
      <c r="O32" s="18"/>
      <c r="P32" s="21"/>
      <c r="Q32" s="39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35"/>
      <c r="BB32" s="24"/>
      <c r="BC32" s="17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</row>
    <row r="33" spans="2:204" x14ac:dyDescent="0.2">
      <c r="B33" s="18"/>
      <c r="C33" s="18" t="s">
        <v>80</v>
      </c>
      <c r="D33" s="18"/>
      <c r="E33" s="45"/>
      <c r="F33" s="19"/>
      <c r="G33" s="20" t="e">
        <f t="shared" si="7"/>
        <v>#N/A</v>
      </c>
      <c r="H33" s="20" t="e">
        <f t="shared" si="6"/>
        <v>#N/A</v>
      </c>
      <c r="I33" s="21"/>
      <c r="J33" s="21"/>
      <c r="K33" s="18"/>
      <c r="L33" s="18"/>
      <c r="M33" s="18"/>
      <c r="N33" s="22"/>
      <c r="O33" s="18"/>
      <c r="P33" s="21"/>
      <c r="Q33" s="39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35"/>
      <c r="BB33" s="24"/>
      <c r="BC33" s="17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</row>
    <row r="34" spans="2:204" x14ac:dyDescent="0.2">
      <c r="B34" s="18"/>
      <c r="C34" s="18" t="s">
        <v>81</v>
      </c>
      <c r="D34" s="18"/>
      <c r="E34" s="45"/>
      <c r="F34" s="19"/>
      <c r="G34" s="20" t="e">
        <f t="shared" si="7"/>
        <v>#N/A</v>
      </c>
      <c r="H34" s="20" t="e">
        <f t="shared" si="6"/>
        <v>#N/A</v>
      </c>
      <c r="I34" s="18"/>
      <c r="J34" s="18"/>
      <c r="K34" s="18"/>
      <c r="L34" s="18"/>
      <c r="M34" s="18"/>
      <c r="N34" s="22"/>
      <c r="O34" s="18"/>
      <c r="P34" s="18"/>
      <c r="Q34" s="40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35"/>
      <c r="BB34" s="24"/>
      <c r="BC34" s="17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</row>
    <row r="35" spans="2:204" x14ac:dyDescent="0.2">
      <c r="B35" s="18"/>
      <c r="C35" s="18" t="s">
        <v>82</v>
      </c>
      <c r="D35" s="18"/>
      <c r="E35" s="45"/>
      <c r="F35" s="19"/>
      <c r="G35" s="20" t="e">
        <f t="shared" si="7"/>
        <v>#N/A</v>
      </c>
      <c r="H35" s="20" t="e">
        <f t="shared" si="6"/>
        <v>#N/A</v>
      </c>
      <c r="I35" s="18"/>
      <c r="J35" s="18"/>
      <c r="K35" s="18"/>
      <c r="L35" s="18"/>
      <c r="M35" s="18"/>
      <c r="N35" s="22"/>
      <c r="O35" s="18"/>
      <c r="P35" s="18"/>
      <c r="Q35" s="40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35"/>
      <c r="BB35" s="24"/>
      <c r="BC35" s="17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</row>
    <row r="36" spans="2:204" x14ac:dyDescent="0.2">
      <c r="B36" s="18"/>
      <c r="C36" s="18" t="s">
        <v>86</v>
      </c>
      <c r="D36" s="18"/>
      <c r="E36" s="45"/>
      <c r="F36" s="19"/>
      <c r="G36" s="20" t="e">
        <f t="shared" ref="G36:G53" si="8">IF(F36=0,VLOOKUP(O36,$C$6:$O$36,6,FALSE),VLOOKUP(O36,$C$6:$O$36,6,FALSE)+1)</f>
        <v>#N/A</v>
      </c>
      <c r="H36" s="20" t="e">
        <f t="shared" ref="H36:H53" si="9">G36+F36</f>
        <v>#N/A</v>
      </c>
      <c r="I36" s="21"/>
      <c r="J36" s="21"/>
      <c r="K36" s="18"/>
      <c r="L36" s="18"/>
      <c r="M36" s="18"/>
      <c r="N36" s="22"/>
      <c r="O36" s="18"/>
      <c r="P36" s="21"/>
      <c r="Q36" s="39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35"/>
      <c r="BB36" s="24"/>
      <c r="BC36" s="17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  <c r="CG36" s="15"/>
      <c r="CH36" s="15"/>
      <c r="CI36" s="15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Y36" s="15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K36" s="15"/>
      <c r="DL36" s="15"/>
      <c r="DM36" s="15"/>
      <c r="DN36" s="15"/>
      <c r="DO36" s="15"/>
      <c r="DP36" s="15"/>
      <c r="DQ36" s="15"/>
      <c r="DR36" s="15"/>
      <c r="DS36" s="15"/>
      <c r="DT36" s="15"/>
      <c r="DU36" s="15"/>
      <c r="DV36" s="15"/>
      <c r="DW36" s="15"/>
      <c r="DX36" s="15"/>
      <c r="DY36" s="15"/>
      <c r="DZ36" s="15"/>
      <c r="EA36" s="15"/>
      <c r="EB36" s="15"/>
      <c r="EC36" s="15"/>
      <c r="ED36" s="15"/>
      <c r="EE36" s="15"/>
      <c r="EF36" s="15"/>
      <c r="EG36" s="15"/>
      <c r="EH36" s="15"/>
      <c r="EI36" s="15"/>
      <c r="EJ36" s="15"/>
      <c r="EK36" s="15"/>
      <c r="EL36" s="15"/>
      <c r="EM36" s="15"/>
      <c r="EN36" s="15"/>
      <c r="EO36" s="15"/>
      <c r="EP36" s="15"/>
      <c r="EQ36" s="15"/>
      <c r="ER36" s="15"/>
      <c r="ES36" s="15"/>
      <c r="ET36" s="15"/>
      <c r="EU36" s="15"/>
      <c r="EV36" s="15"/>
      <c r="EW36" s="15"/>
      <c r="EX36" s="15"/>
      <c r="EY36" s="15"/>
      <c r="EZ36" s="15"/>
      <c r="FA36" s="15"/>
      <c r="FB36" s="15"/>
      <c r="FC36" s="15"/>
      <c r="FD36" s="15"/>
      <c r="FE36" s="15"/>
      <c r="FF36" s="15"/>
      <c r="FG36" s="15"/>
      <c r="FH36" s="15"/>
      <c r="FI36" s="15"/>
      <c r="FJ36" s="15"/>
      <c r="FK36" s="15"/>
      <c r="FL36" s="15"/>
      <c r="FM36" s="15"/>
      <c r="FN36" s="15"/>
      <c r="FO36" s="15"/>
      <c r="FP36" s="15"/>
      <c r="FQ36" s="15"/>
      <c r="FR36" s="15"/>
      <c r="FS36" s="15"/>
      <c r="FT36" s="15"/>
      <c r="FU36" s="15"/>
      <c r="FV36" s="15"/>
      <c r="FW36" s="15"/>
      <c r="FX36" s="15"/>
      <c r="FY36" s="15"/>
      <c r="FZ36" s="15"/>
      <c r="GA36" s="15"/>
      <c r="GB36" s="15"/>
      <c r="GC36" s="15"/>
      <c r="GD36" s="15"/>
      <c r="GE36" s="15"/>
      <c r="GF36" s="15"/>
      <c r="GG36" s="15"/>
      <c r="GH36" s="15"/>
      <c r="GI36" s="15"/>
      <c r="GJ36" s="15"/>
      <c r="GK36" s="15"/>
      <c r="GL36" s="15"/>
      <c r="GM36" s="15"/>
      <c r="GN36" s="15"/>
      <c r="GO36" s="15"/>
      <c r="GP36" s="15"/>
      <c r="GQ36" s="15"/>
      <c r="GR36" s="15"/>
      <c r="GS36" s="15"/>
      <c r="GT36" s="15"/>
      <c r="GU36" s="15"/>
      <c r="GV36" s="15"/>
    </row>
    <row r="37" spans="2:204" x14ac:dyDescent="0.2">
      <c r="B37" s="18"/>
      <c r="C37" s="23" t="s">
        <v>87</v>
      </c>
      <c r="D37" s="18"/>
      <c r="E37" s="45"/>
      <c r="F37" s="19"/>
      <c r="G37" s="20" t="e">
        <f t="shared" si="8"/>
        <v>#N/A</v>
      </c>
      <c r="H37" s="20" t="e">
        <f t="shared" si="9"/>
        <v>#N/A</v>
      </c>
      <c r="I37" s="21"/>
      <c r="J37" s="21"/>
      <c r="K37" s="18"/>
      <c r="L37" s="18"/>
      <c r="M37" s="18"/>
      <c r="N37" s="22"/>
      <c r="O37" s="18"/>
      <c r="P37" s="21"/>
      <c r="Q37" s="39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35"/>
      <c r="BB37" s="24"/>
      <c r="BC37" s="17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Y37" s="15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  <c r="EE37" s="15"/>
      <c r="EF37" s="15"/>
      <c r="EG37" s="15"/>
      <c r="EH37" s="15"/>
      <c r="EI37" s="15"/>
      <c r="EJ37" s="15"/>
      <c r="EK37" s="15"/>
      <c r="EL37" s="15"/>
      <c r="EM37" s="15"/>
      <c r="EN37" s="15"/>
      <c r="EO37" s="15"/>
      <c r="EP37" s="15"/>
      <c r="EQ37" s="15"/>
      <c r="ER37" s="15"/>
      <c r="ES37" s="15"/>
      <c r="ET37" s="15"/>
      <c r="EU37" s="15"/>
      <c r="EV37" s="15"/>
      <c r="EW37" s="15"/>
      <c r="EX37" s="15"/>
      <c r="EY37" s="15"/>
      <c r="EZ37" s="15"/>
      <c r="FA37" s="15"/>
      <c r="FB37" s="15"/>
      <c r="FC37" s="15"/>
      <c r="FD37" s="15"/>
      <c r="FE37" s="15"/>
      <c r="FF37" s="15"/>
      <c r="FG37" s="15"/>
      <c r="FH37" s="15"/>
      <c r="FI37" s="15"/>
      <c r="FJ37" s="15"/>
      <c r="FK37" s="15"/>
      <c r="FL37" s="15"/>
      <c r="FM37" s="15"/>
      <c r="FN37" s="15"/>
      <c r="FO37" s="15"/>
      <c r="FP37" s="15"/>
      <c r="FQ37" s="15"/>
      <c r="FR37" s="15"/>
      <c r="FS37" s="15"/>
      <c r="FT37" s="15"/>
      <c r="FU37" s="15"/>
      <c r="FV37" s="15"/>
      <c r="FW37" s="15"/>
      <c r="FX37" s="15"/>
      <c r="FY37" s="15"/>
      <c r="FZ37" s="15"/>
      <c r="GA37" s="15"/>
      <c r="GB37" s="15"/>
      <c r="GC37" s="15"/>
      <c r="GD37" s="15"/>
      <c r="GE37" s="15"/>
      <c r="GF37" s="15"/>
      <c r="GG37" s="15"/>
      <c r="GH37" s="15"/>
      <c r="GI37" s="15"/>
      <c r="GJ37" s="15"/>
      <c r="GK37" s="15"/>
      <c r="GL37" s="15"/>
      <c r="GM37" s="15"/>
      <c r="GN37" s="15"/>
      <c r="GO37" s="15"/>
      <c r="GP37" s="15"/>
      <c r="GQ37" s="15"/>
      <c r="GR37" s="15"/>
      <c r="GS37" s="15"/>
      <c r="GT37" s="15"/>
      <c r="GU37" s="15"/>
      <c r="GV37" s="15"/>
    </row>
    <row r="38" spans="2:204" x14ac:dyDescent="0.2">
      <c r="B38" s="18"/>
      <c r="C38" s="23" t="s">
        <v>88</v>
      </c>
      <c r="D38" s="18"/>
      <c r="E38" s="45"/>
      <c r="F38" s="19"/>
      <c r="G38" s="20" t="e">
        <f t="shared" si="8"/>
        <v>#N/A</v>
      </c>
      <c r="H38" s="20" t="e">
        <f t="shared" si="9"/>
        <v>#N/A</v>
      </c>
      <c r="I38" s="21"/>
      <c r="J38" s="21"/>
      <c r="K38" s="18"/>
      <c r="L38" s="18"/>
      <c r="M38" s="18"/>
      <c r="N38" s="22"/>
      <c r="O38" s="18"/>
      <c r="P38" s="21"/>
      <c r="Q38" s="39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35"/>
      <c r="BB38" s="24"/>
      <c r="BC38" s="17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</row>
    <row r="39" spans="2:204" x14ac:dyDescent="0.2">
      <c r="B39" s="18"/>
      <c r="C39" s="23" t="s">
        <v>89</v>
      </c>
      <c r="D39" s="18"/>
      <c r="E39" s="45"/>
      <c r="F39" s="19"/>
      <c r="G39" s="20" t="e">
        <f t="shared" si="8"/>
        <v>#N/A</v>
      </c>
      <c r="H39" s="20" t="e">
        <f t="shared" si="9"/>
        <v>#N/A</v>
      </c>
      <c r="I39" s="21"/>
      <c r="J39" s="21"/>
      <c r="K39" s="18"/>
      <c r="L39" s="18"/>
      <c r="M39" s="18"/>
      <c r="N39" s="22"/>
      <c r="O39" s="18"/>
      <c r="P39" s="21"/>
      <c r="Q39" s="39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35"/>
      <c r="BB39" s="24"/>
      <c r="BC39" s="17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Y39" s="15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15"/>
      <c r="EE39" s="15"/>
      <c r="EF39" s="15"/>
      <c r="EG39" s="15"/>
      <c r="EH39" s="15"/>
      <c r="EI39" s="15"/>
      <c r="EJ39" s="15"/>
      <c r="EK39" s="15"/>
      <c r="EL39" s="15"/>
      <c r="EM39" s="15"/>
      <c r="EN39" s="15"/>
      <c r="EO39" s="15"/>
      <c r="EP39" s="15"/>
      <c r="EQ39" s="15"/>
      <c r="ER39" s="15"/>
      <c r="ES39" s="15"/>
      <c r="ET39" s="15"/>
      <c r="EU39" s="15"/>
      <c r="EV39" s="15"/>
      <c r="EW39" s="15"/>
      <c r="EX39" s="15"/>
      <c r="EY39" s="15"/>
      <c r="EZ39" s="15"/>
      <c r="FA39" s="15"/>
      <c r="FB39" s="15"/>
      <c r="FC39" s="15"/>
      <c r="FD39" s="15"/>
      <c r="FE39" s="15"/>
      <c r="FF39" s="15"/>
      <c r="FG39" s="15"/>
      <c r="FH39" s="15"/>
      <c r="FI39" s="15"/>
      <c r="FJ39" s="15"/>
      <c r="FK39" s="15"/>
      <c r="FL39" s="15"/>
      <c r="FM39" s="15"/>
      <c r="FN39" s="15"/>
      <c r="FO39" s="15"/>
      <c r="FP39" s="15"/>
      <c r="FQ39" s="15"/>
      <c r="FR39" s="15"/>
      <c r="FS39" s="15"/>
      <c r="FT39" s="15"/>
      <c r="FU39" s="15"/>
      <c r="FV39" s="15"/>
      <c r="FW39" s="15"/>
      <c r="FX39" s="15"/>
      <c r="FY39" s="15"/>
      <c r="FZ39" s="15"/>
      <c r="GA39" s="15"/>
      <c r="GB39" s="15"/>
      <c r="GC39" s="15"/>
      <c r="GD39" s="15"/>
      <c r="GE39" s="15"/>
      <c r="GF39" s="15"/>
      <c r="GG39" s="15"/>
      <c r="GH39" s="15"/>
      <c r="GI39" s="15"/>
      <c r="GJ39" s="15"/>
      <c r="GK39" s="15"/>
      <c r="GL39" s="15"/>
      <c r="GM39" s="15"/>
      <c r="GN39" s="15"/>
      <c r="GO39" s="15"/>
      <c r="GP39" s="15"/>
      <c r="GQ39" s="15"/>
      <c r="GR39" s="15"/>
      <c r="GS39" s="15"/>
      <c r="GT39" s="15"/>
      <c r="GU39" s="15"/>
      <c r="GV39" s="15"/>
    </row>
    <row r="40" spans="2:204" x14ac:dyDescent="0.2">
      <c r="B40" s="18"/>
      <c r="C40" s="18" t="s">
        <v>90</v>
      </c>
      <c r="D40" s="18"/>
      <c r="E40" s="45"/>
      <c r="F40" s="19"/>
      <c r="G40" s="20" t="e">
        <f t="shared" si="8"/>
        <v>#N/A</v>
      </c>
      <c r="H40" s="20" t="e">
        <f t="shared" si="9"/>
        <v>#N/A</v>
      </c>
      <c r="I40" s="21"/>
      <c r="J40" s="21"/>
      <c r="K40" s="18"/>
      <c r="L40" s="18"/>
      <c r="M40" s="18"/>
      <c r="N40" s="22"/>
      <c r="O40" s="18"/>
      <c r="P40" s="21"/>
      <c r="Q40" s="39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35"/>
      <c r="BB40" s="24"/>
      <c r="BC40" s="17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5"/>
      <c r="DP40" s="15"/>
      <c r="DQ40" s="15"/>
      <c r="DR40" s="15"/>
      <c r="DS40" s="15"/>
      <c r="DT40" s="15"/>
      <c r="DU40" s="15"/>
      <c r="DV40" s="15"/>
      <c r="DW40" s="15"/>
      <c r="DX40" s="15"/>
      <c r="DY40" s="15"/>
      <c r="DZ40" s="15"/>
      <c r="EA40" s="15"/>
      <c r="EB40" s="15"/>
      <c r="EC40" s="15"/>
      <c r="ED40" s="15"/>
      <c r="EE40" s="15"/>
      <c r="EF40" s="15"/>
      <c r="EG40" s="15"/>
      <c r="EH40" s="15"/>
      <c r="EI40" s="15"/>
      <c r="EJ40" s="15"/>
      <c r="EK40" s="15"/>
      <c r="EL40" s="15"/>
      <c r="EM40" s="15"/>
      <c r="EN40" s="15"/>
      <c r="EO40" s="15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5"/>
      <c r="FO40" s="15"/>
      <c r="FP40" s="15"/>
      <c r="FQ40" s="15"/>
      <c r="FR40" s="15"/>
      <c r="FS40" s="15"/>
      <c r="FT40" s="15"/>
      <c r="FU40" s="15"/>
      <c r="FV40" s="15"/>
      <c r="FW40" s="15"/>
      <c r="FX40" s="15"/>
      <c r="FY40" s="15"/>
      <c r="FZ40" s="15"/>
      <c r="GA40" s="15"/>
      <c r="GB40" s="15"/>
      <c r="GC40" s="15"/>
      <c r="GD40" s="15"/>
      <c r="GE40" s="15"/>
      <c r="GF40" s="15"/>
      <c r="GG40" s="15"/>
      <c r="GH40" s="15"/>
      <c r="GI40" s="15"/>
      <c r="GJ40" s="15"/>
      <c r="GK40" s="15"/>
      <c r="GL40" s="15"/>
      <c r="GM40" s="15"/>
      <c r="GN40" s="15"/>
      <c r="GO40" s="15"/>
      <c r="GP40" s="15"/>
      <c r="GQ40" s="15"/>
      <c r="GR40" s="15"/>
      <c r="GS40" s="15"/>
      <c r="GT40" s="15"/>
      <c r="GU40" s="15"/>
      <c r="GV40" s="15"/>
    </row>
    <row r="41" spans="2:204" x14ac:dyDescent="0.2">
      <c r="B41" s="18"/>
      <c r="C41" s="18" t="s">
        <v>91</v>
      </c>
      <c r="D41" s="18"/>
      <c r="E41" s="45"/>
      <c r="F41" s="19"/>
      <c r="G41" s="20" t="e">
        <f t="shared" si="8"/>
        <v>#N/A</v>
      </c>
      <c r="H41" s="20" t="e">
        <f t="shared" si="9"/>
        <v>#N/A</v>
      </c>
      <c r="I41" s="21"/>
      <c r="J41" s="21"/>
      <c r="K41" s="18"/>
      <c r="L41" s="18"/>
      <c r="M41" s="18"/>
      <c r="N41" s="22"/>
      <c r="O41" s="18"/>
      <c r="P41" s="21"/>
      <c r="Q41" s="39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35"/>
      <c r="BB41" s="24"/>
      <c r="BC41" s="17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15"/>
      <c r="DH41" s="15"/>
      <c r="DI41" s="15"/>
      <c r="DJ41" s="15"/>
      <c r="DK41" s="15"/>
      <c r="DL41" s="15"/>
      <c r="DM41" s="15"/>
      <c r="DN41" s="15"/>
      <c r="DO41" s="15"/>
      <c r="DP41" s="15"/>
      <c r="DQ41" s="15"/>
      <c r="DR41" s="15"/>
      <c r="DS41" s="15"/>
      <c r="DT41" s="15"/>
      <c r="DU41" s="15"/>
      <c r="DV41" s="15"/>
      <c r="DW41" s="15"/>
      <c r="DX41" s="15"/>
      <c r="DY41" s="15"/>
      <c r="DZ41" s="15"/>
      <c r="EA41" s="15"/>
      <c r="EB41" s="15"/>
      <c r="EC41" s="15"/>
      <c r="ED41" s="15"/>
      <c r="EE41" s="15"/>
      <c r="EF41" s="15"/>
      <c r="EG41" s="15"/>
      <c r="EH41" s="15"/>
      <c r="EI41" s="15"/>
      <c r="EJ41" s="15"/>
      <c r="EK41" s="15"/>
      <c r="EL41" s="15"/>
      <c r="EM41" s="15"/>
      <c r="EN41" s="15"/>
      <c r="EO41" s="15"/>
      <c r="EP41" s="15"/>
      <c r="EQ41" s="15"/>
      <c r="ER41" s="15"/>
      <c r="ES41" s="15"/>
      <c r="ET41" s="15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5"/>
      <c r="FP41" s="15"/>
      <c r="FQ41" s="15"/>
      <c r="FR41" s="15"/>
      <c r="FS41" s="15"/>
      <c r="FT41" s="15"/>
      <c r="FU41" s="15"/>
      <c r="FV41" s="15"/>
      <c r="FW41" s="15"/>
      <c r="FX41" s="15"/>
      <c r="FY41" s="15"/>
      <c r="FZ41" s="15"/>
      <c r="GA41" s="15"/>
      <c r="GB41" s="15"/>
      <c r="GC41" s="15"/>
      <c r="GD41" s="15"/>
      <c r="GE41" s="15"/>
      <c r="GF41" s="15"/>
      <c r="GG41" s="15"/>
      <c r="GH41" s="15"/>
      <c r="GI41" s="15"/>
      <c r="GJ41" s="15"/>
      <c r="GK41" s="15"/>
      <c r="GL41" s="15"/>
      <c r="GM41" s="15"/>
      <c r="GN41" s="15"/>
      <c r="GO41" s="15"/>
      <c r="GP41" s="15"/>
      <c r="GQ41" s="15"/>
      <c r="GR41" s="15"/>
      <c r="GS41" s="15"/>
      <c r="GT41" s="15"/>
      <c r="GU41" s="15"/>
      <c r="GV41" s="15"/>
    </row>
    <row r="42" spans="2:204" x14ac:dyDescent="0.2">
      <c r="B42" s="18"/>
      <c r="C42" s="18" t="s">
        <v>92</v>
      </c>
      <c r="D42" s="18"/>
      <c r="E42" s="45"/>
      <c r="F42" s="19"/>
      <c r="G42" s="20" t="e">
        <f t="shared" si="8"/>
        <v>#N/A</v>
      </c>
      <c r="H42" s="20" t="e">
        <f t="shared" si="9"/>
        <v>#N/A</v>
      </c>
      <c r="I42" s="21"/>
      <c r="J42" s="21"/>
      <c r="K42" s="18"/>
      <c r="L42" s="18"/>
      <c r="M42" s="18"/>
      <c r="N42" s="22"/>
      <c r="O42" s="18"/>
      <c r="P42" s="21"/>
      <c r="Q42" s="39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35"/>
      <c r="BB42" s="24"/>
      <c r="BC42" s="17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  <c r="CQ42" s="15"/>
      <c r="CR42" s="15"/>
      <c r="CS42" s="15"/>
      <c r="CT42" s="15"/>
      <c r="CU42" s="15"/>
      <c r="CV42" s="15"/>
      <c r="CW42" s="15"/>
      <c r="CX42" s="15"/>
      <c r="CY42" s="15"/>
      <c r="CZ42" s="15"/>
      <c r="DA42" s="15"/>
      <c r="DB42" s="15"/>
      <c r="DC42" s="15"/>
      <c r="DD42" s="15"/>
      <c r="DE42" s="15"/>
      <c r="DF42" s="15"/>
      <c r="DG42" s="15"/>
      <c r="DH42" s="15"/>
      <c r="DI42" s="15"/>
      <c r="DJ42" s="15"/>
      <c r="DK42" s="15"/>
      <c r="DL42" s="15"/>
      <c r="DM42" s="15"/>
      <c r="DN42" s="15"/>
      <c r="DO42" s="15"/>
      <c r="DP42" s="15"/>
      <c r="DQ42" s="15"/>
      <c r="DR42" s="15"/>
      <c r="DS42" s="15"/>
      <c r="DT42" s="15"/>
      <c r="DU42" s="15"/>
      <c r="DV42" s="15"/>
      <c r="DW42" s="15"/>
      <c r="DX42" s="15"/>
      <c r="DY42" s="15"/>
      <c r="DZ42" s="15"/>
      <c r="EA42" s="15"/>
      <c r="EB42" s="15"/>
      <c r="EC42" s="15"/>
      <c r="ED42" s="15"/>
      <c r="EE42" s="15"/>
      <c r="EF42" s="15"/>
      <c r="EG42" s="15"/>
      <c r="EH42" s="15"/>
      <c r="EI42" s="15"/>
      <c r="EJ42" s="15"/>
      <c r="EK42" s="15"/>
      <c r="EL42" s="15"/>
      <c r="EM42" s="15"/>
      <c r="EN42" s="15"/>
      <c r="EO42" s="15"/>
      <c r="EP42" s="15"/>
      <c r="EQ42" s="15"/>
      <c r="ER42" s="15"/>
      <c r="ES42" s="15"/>
      <c r="ET42" s="15"/>
      <c r="EU42" s="15"/>
      <c r="EV42" s="15"/>
      <c r="EW42" s="15"/>
      <c r="EX42" s="15"/>
      <c r="EY42" s="15"/>
      <c r="EZ42" s="15"/>
      <c r="FA42" s="15"/>
      <c r="FB42" s="15"/>
      <c r="FC42" s="15"/>
      <c r="FD42" s="15"/>
      <c r="FE42" s="15"/>
      <c r="FF42" s="15"/>
      <c r="FG42" s="15"/>
      <c r="FH42" s="15"/>
      <c r="FI42" s="15"/>
      <c r="FJ42" s="15"/>
      <c r="FK42" s="15"/>
      <c r="FL42" s="15"/>
      <c r="FM42" s="15"/>
      <c r="FN42" s="15"/>
      <c r="FO42" s="15"/>
      <c r="FP42" s="15"/>
      <c r="FQ42" s="15"/>
      <c r="FR42" s="15"/>
      <c r="FS42" s="15"/>
      <c r="FT42" s="15"/>
      <c r="FU42" s="15"/>
      <c r="FV42" s="15"/>
      <c r="FW42" s="15"/>
      <c r="FX42" s="15"/>
      <c r="FY42" s="15"/>
      <c r="FZ42" s="15"/>
      <c r="GA42" s="15"/>
      <c r="GB42" s="15"/>
      <c r="GC42" s="15"/>
      <c r="GD42" s="15"/>
      <c r="GE42" s="15"/>
      <c r="GF42" s="15"/>
      <c r="GG42" s="15"/>
      <c r="GH42" s="15"/>
      <c r="GI42" s="15"/>
      <c r="GJ42" s="15"/>
      <c r="GK42" s="15"/>
      <c r="GL42" s="15"/>
      <c r="GM42" s="15"/>
      <c r="GN42" s="15"/>
      <c r="GO42" s="15"/>
      <c r="GP42" s="15"/>
      <c r="GQ42" s="15"/>
      <c r="GR42" s="15"/>
      <c r="GS42" s="15"/>
      <c r="GT42" s="15"/>
      <c r="GU42" s="15"/>
      <c r="GV42" s="15"/>
    </row>
    <row r="43" spans="2:204" x14ac:dyDescent="0.2">
      <c r="B43" s="18"/>
      <c r="C43" s="18" t="s">
        <v>93</v>
      </c>
      <c r="D43" s="18"/>
      <c r="E43" s="45"/>
      <c r="F43" s="19"/>
      <c r="G43" s="20" t="e">
        <f t="shared" si="8"/>
        <v>#N/A</v>
      </c>
      <c r="H43" s="20" t="e">
        <f t="shared" si="9"/>
        <v>#N/A</v>
      </c>
      <c r="I43" s="21"/>
      <c r="J43" s="21"/>
      <c r="K43" s="18"/>
      <c r="L43" s="18"/>
      <c r="M43" s="18"/>
      <c r="N43" s="22"/>
      <c r="O43" s="18"/>
      <c r="P43" s="21"/>
      <c r="Q43" s="39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35"/>
      <c r="BB43" s="24"/>
      <c r="BC43" s="17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5"/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  <c r="EE43" s="15"/>
      <c r="EF43" s="15"/>
      <c r="EG43" s="15"/>
      <c r="EH43" s="15"/>
      <c r="EI43" s="15"/>
      <c r="EJ43" s="15"/>
      <c r="EK43" s="15"/>
      <c r="EL43" s="15"/>
      <c r="EM43" s="15"/>
      <c r="EN43" s="15"/>
      <c r="EO43" s="15"/>
      <c r="EP43" s="15"/>
      <c r="EQ43" s="15"/>
      <c r="ER43" s="15"/>
      <c r="ES43" s="15"/>
      <c r="ET43" s="15"/>
      <c r="EU43" s="15"/>
      <c r="EV43" s="15"/>
      <c r="EW43" s="15"/>
      <c r="EX43" s="15"/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5"/>
      <c r="FO43" s="15"/>
      <c r="FP43" s="15"/>
      <c r="FQ43" s="15"/>
      <c r="FR43" s="15"/>
      <c r="FS43" s="15"/>
      <c r="FT43" s="15"/>
      <c r="FU43" s="15"/>
      <c r="FV43" s="15"/>
      <c r="FW43" s="15"/>
      <c r="FX43" s="15"/>
      <c r="FY43" s="15"/>
      <c r="FZ43" s="15"/>
      <c r="GA43" s="15"/>
      <c r="GB43" s="15"/>
      <c r="GC43" s="15"/>
      <c r="GD43" s="15"/>
      <c r="GE43" s="15"/>
      <c r="GF43" s="15"/>
      <c r="GG43" s="15"/>
      <c r="GH43" s="15"/>
      <c r="GI43" s="15"/>
      <c r="GJ43" s="15"/>
      <c r="GK43" s="15"/>
      <c r="GL43" s="15"/>
      <c r="GM43" s="15"/>
      <c r="GN43" s="15"/>
      <c r="GO43" s="15"/>
      <c r="GP43" s="15"/>
      <c r="GQ43" s="15"/>
      <c r="GR43" s="15"/>
      <c r="GS43" s="15"/>
      <c r="GT43" s="15"/>
      <c r="GU43" s="15"/>
      <c r="GV43" s="15"/>
    </row>
    <row r="44" spans="2:204" x14ac:dyDescent="0.2">
      <c r="B44" s="18"/>
      <c r="C44" s="18" t="s">
        <v>94</v>
      </c>
      <c r="D44" s="18"/>
      <c r="E44" s="45">
        <v>0.2</v>
      </c>
      <c r="F44" s="19"/>
      <c r="G44" s="20" t="e">
        <f t="shared" si="8"/>
        <v>#N/A</v>
      </c>
      <c r="H44" s="20" t="e">
        <f t="shared" si="9"/>
        <v>#N/A</v>
      </c>
      <c r="I44" s="21"/>
      <c r="J44" s="21"/>
      <c r="K44" s="18"/>
      <c r="L44" s="18"/>
      <c r="M44" s="18"/>
      <c r="N44" s="22"/>
      <c r="O44" s="18"/>
      <c r="P44" s="21"/>
      <c r="Q44" s="39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35"/>
      <c r="BB44" s="24"/>
      <c r="BC44" s="17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  <c r="CU44" s="15"/>
      <c r="CV44" s="15"/>
      <c r="CW44" s="15"/>
      <c r="CX44" s="15"/>
      <c r="CY44" s="15"/>
      <c r="CZ44" s="15"/>
      <c r="DA44" s="15"/>
      <c r="DB44" s="15"/>
      <c r="DC44" s="15"/>
      <c r="DD44" s="15"/>
      <c r="DE44" s="15"/>
      <c r="DF44" s="15"/>
      <c r="DG44" s="15"/>
      <c r="DH44" s="15"/>
      <c r="DI44" s="15"/>
      <c r="DJ44" s="15"/>
      <c r="DK44" s="15"/>
      <c r="DL44" s="15"/>
      <c r="DM44" s="15"/>
      <c r="DN44" s="15"/>
      <c r="DO44" s="15"/>
      <c r="DP44" s="15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5"/>
      <c r="EL44" s="15"/>
      <c r="EM44" s="15"/>
      <c r="EN44" s="15"/>
      <c r="EO44" s="15"/>
      <c r="EP44" s="15"/>
      <c r="EQ44" s="15"/>
      <c r="ER44" s="15"/>
      <c r="ES44" s="15"/>
      <c r="ET44" s="15"/>
      <c r="EU44" s="15"/>
      <c r="EV44" s="15"/>
      <c r="EW44" s="15"/>
      <c r="EX44" s="15"/>
      <c r="EY44" s="15"/>
      <c r="EZ44" s="15"/>
      <c r="FA44" s="15"/>
      <c r="FB44" s="15"/>
      <c r="FC44" s="15"/>
      <c r="FD44" s="15"/>
      <c r="FE44" s="15"/>
      <c r="FF44" s="15"/>
      <c r="FG44" s="15"/>
      <c r="FH44" s="15"/>
      <c r="FI44" s="15"/>
      <c r="FJ44" s="15"/>
      <c r="FK44" s="15"/>
      <c r="FL44" s="15"/>
      <c r="FM44" s="15"/>
      <c r="FN44" s="15"/>
      <c r="FO44" s="15"/>
      <c r="FP44" s="15"/>
      <c r="FQ44" s="15"/>
      <c r="FR44" s="15"/>
      <c r="FS44" s="15"/>
      <c r="FT44" s="15"/>
      <c r="FU44" s="15"/>
      <c r="FV44" s="15"/>
      <c r="FW44" s="15"/>
      <c r="FX44" s="15"/>
      <c r="FY44" s="15"/>
      <c r="FZ44" s="15"/>
      <c r="GA44" s="15"/>
      <c r="GB44" s="15"/>
      <c r="GC44" s="15"/>
      <c r="GD44" s="15"/>
      <c r="GE44" s="15"/>
      <c r="GF44" s="15"/>
      <c r="GG44" s="15"/>
      <c r="GH44" s="15"/>
      <c r="GI44" s="15"/>
      <c r="GJ44" s="15"/>
      <c r="GK44" s="15"/>
      <c r="GL44" s="15"/>
      <c r="GM44" s="15"/>
      <c r="GN44" s="15"/>
      <c r="GO44" s="15"/>
      <c r="GP44" s="15"/>
      <c r="GQ44" s="15"/>
      <c r="GR44" s="15"/>
      <c r="GS44" s="15"/>
      <c r="GT44" s="15"/>
      <c r="GU44" s="15"/>
      <c r="GV44" s="15"/>
    </row>
    <row r="45" spans="2:204" x14ac:dyDescent="0.2">
      <c r="B45" s="18"/>
      <c r="C45" s="18" t="s">
        <v>95</v>
      </c>
      <c r="D45" s="18"/>
      <c r="E45" s="45"/>
      <c r="F45" s="19"/>
      <c r="G45" s="20" t="e">
        <f t="shared" si="8"/>
        <v>#N/A</v>
      </c>
      <c r="H45" s="20" t="e">
        <f t="shared" si="9"/>
        <v>#N/A</v>
      </c>
      <c r="I45" s="21"/>
      <c r="J45" s="21"/>
      <c r="K45" s="18"/>
      <c r="L45" s="18"/>
      <c r="M45" s="18"/>
      <c r="N45" s="22"/>
      <c r="O45" s="18"/>
      <c r="P45" s="21"/>
      <c r="Q45" s="39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35"/>
      <c r="BB45" s="24"/>
      <c r="BC45" s="17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5"/>
      <c r="DP45" s="15"/>
      <c r="DQ45" s="15"/>
      <c r="DR45" s="15"/>
      <c r="DS45" s="15"/>
      <c r="DT45" s="15"/>
      <c r="DU45" s="15"/>
      <c r="DV45" s="15"/>
      <c r="DW45" s="15"/>
      <c r="DX45" s="15"/>
      <c r="DY45" s="15"/>
      <c r="DZ45" s="15"/>
      <c r="EA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5"/>
      <c r="EM45" s="15"/>
      <c r="EN45" s="15"/>
      <c r="EO45" s="15"/>
      <c r="EP45" s="15"/>
      <c r="EQ45" s="15"/>
      <c r="ER45" s="15"/>
      <c r="ES45" s="15"/>
      <c r="ET45" s="15"/>
      <c r="EU45" s="15"/>
      <c r="EV45" s="15"/>
      <c r="EW45" s="15"/>
      <c r="EX45" s="15"/>
      <c r="EY45" s="15"/>
      <c r="EZ45" s="15"/>
      <c r="FA45" s="15"/>
      <c r="FB45" s="15"/>
      <c r="FC45" s="15"/>
      <c r="FD45" s="15"/>
      <c r="FE45" s="15"/>
      <c r="FF45" s="15"/>
      <c r="FG45" s="15"/>
      <c r="FH45" s="15"/>
      <c r="FI45" s="15"/>
      <c r="FJ45" s="15"/>
      <c r="FK45" s="15"/>
      <c r="FL45" s="15"/>
      <c r="FM45" s="15"/>
      <c r="FN45" s="15"/>
      <c r="FO45" s="15"/>
      <c r="FP45" s="15"/>
      <c r="FQ45" s="15"/>
      <c r="FR45" s="15"/>
      <c r="FS45" s="15"/>
      <c r="FT45" s="15"/>
      <c r="FU45" s="15"/>
      <c r="FV45" s="15"/>
      <c r="FW45" s="15"/>
      <c r="FX45" s="15"/>
      <c r="FY45" s="15"/>
      <c r="FZ45" s="15"/>
      <c r="GA45" s="15"/>
      <c r="GB45" s="15"/>
      <c r="GC45" s="15"/>
      <c r="GD45" s="15"/>
      <c r="GE45" s="15"/>
      <c r="GF45" s="15"/>
      <c r="GG45" s="15"/>
      <c r="GH45" s="15"/>
      <c r="GI45" s="15"/>
      <c r="GJ45" s="15"/>
      <c r="GK45" s="15"/>
      <c r="GL45" s="15"/>
      <c r="GM45" s="15"/>
      <c r="GN45" s="15"/>
      <c r="GO45" s="15"/>
      <c r="GP45" s="15"/>
      <c r="GQ45" s="15"/>
      <c r="GR45" s="15"/>
      <c r="GS45" s="15"/>
      <c r="GT45" s="15"/>
      <c r="GU45" s="15"/>
      <c r="GV45" s="15"/>
    </row>
    <row r="46" spans="2:204" x14ac:dyDescent="0.2">
      <c r="B46" s="18"/>
      <c r="C46" s="18" t="s">
        <v>96</v>
      </c>
      <c r="D46" s="18"/>
      <c r="E46" s="45"/>
      <c r="F46" s="19"/>
      <c r="G46" s="20" t="e">
        <f t="shared" si="8"/>
        <v>#N/A</v>
      </c>
      <c r="H46" s="20" t="e">
        <f t="shared" si="9"/>
        <v>#N/A</v>
      </c>
      <c r="I46" s="18"/>
      <c r="J46" s="18"/>
      <c r="K46" s="18"/>
      <c r="L46" s="18"/>
      <c r="M46" s="18"/>
      <c r="N46" s="22"/>
      <c r="O46" s="18"/>
      <c r="P46" s="18"/>
      <c r="Q46" s="40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35"/>
      <c r="BB46" s="24"/>
      <c r="BC46" s="17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15"/>
      <c r="DS46" s="15"/>
      <c r="DT46" s="15"/>
      <c r="DU46" s="15"/>
      <c r="DV46" s="15"/>
      <c r="DW46" s="15"/>
      <c r="DX46" s="15"/>
      <c r="DY46" s="15"/>
      <c r="DZ46" s="15"/>
      <c r="EA46" s="15"/>
      <c r="EB46" s="15"/>
      <c r="EC46" s="15"/>
      <c r="ED46" s="15"/>
      <c r="EE46" s="15"/>
      <c r="EF46" s="15"/>
      <c r="EG46" s="15"/>
      <c r="EH46" s="15"/>
      <c r="EI46" s="15"/>
      <c r="EJ46" s="15"/>
      <c r="EK46" s="15"/>
      <c r="EL46" s="15"/>
      <c r="EM46" s="15"/>
      <c r="EN46" s="15"/>
      <c r="EO46" s="15"/>
      <c r="EP46" s="15"/>
      <c r="EQ46" s="15"/>
      <c r="ER46" s="15"/>
      <c r="ES46" s="15"/>
      <c r="ET46" s="15"/>
      <c r="EU46" s="15"/>
      <c r="EV46" s="15"/>
      <c r="EW46" s="15"/>
      <c r="EX46" s="15"/>
      <c r="EY46" s="15"/>
      <c r="EZ46" s="15"/>
      <c r="FA46" s="15"/>
      <c r="FB46" s="15"/>
      <c r="FC46" s="15"/>
      <c r="FD46" s="15"/>
      <c r="FE46" s="15"/>
      <c r="FF46" s="15"/>
      <c r="FG46" s="15"/>
      <c r="FH46" s="15"/>
      <c r="FI46" s="15"/>
      <c r="FJ46" s="15"/>
      <c r="FK46" s="15"/>
      <c r="FL46" s="15"/>
      <c r="FM46" s="15"/>
      <c r="FN46" s="15"/>
      <c r="FO46" s="15"/>
      <c r="FP46" s="15"/>
      <c r="FQ46" s="15"/>
      <c r="FR46" s="15"/>
      <c r="FS46" s="15"/>
      <c r="FT46" s="15"/>
      <c r="FU46" s="15"/>
      <c r="FV46" s="15"/>
      <c r="FW46" s="15"/>
      <c r="FX46" s="15"/>
      <c r="FY46" s="15"/>
      <c r="FZ46" s="15"/>
      <c r="GA46" s="15"/>
      <c r="GB46" s="15"/>
      <c r="GC46" s="15"/>
      <c r="GD46" s="15"/>
      <c r="GE46" s="15"/>
      <c r="GF46" s="15"/>
      <c r="GG46" s="15"/>
      <c r="GH46" s="15"/>
      <c r="GI46" s="15"/>
      <c r="GJ46" s="15"/>
      <c r="GK46" s="15"/>
      <c r="GL46" s="15"/>
      <c r="GM46" s="15"/>
      <c r="GN46" s="15"/>
      <c r="GO46" s="15"/>
      <c r="GP46" s="15"/>
      <c r="GQ46" s="15"/>
      <c r="GR46" s="15"/>
      <c r="GS46" s="15"/>
      <c r="GT46" s="15"/>
      <c r="GU46" s="15"/>
      <c r="GV46" s="15"/>
    </row>
    <row r="47" spans="2:204" x14ac:dyDescent="0.2">
      <c r="B47" s="18"/>
      <c r="C47" s="18" t="s">
        <v>97</v>
      </c>
      <c r="D47" s="18"/>
      <c r="E47" s="45"/>
      <c r="F47" s="19"/>
      <c r="G47" s="20" t="e">
        <f t="shared" si="8"/>
        <v>#N/A</v>
      </c>
      <c r="H47" s="20" t="e">
        <f t="shared" si="9"/>
        <v>#N/A</v>
      </c>
      <c r="I47" s="18"/>
      <c r="J47" s="18"/>
      <c r="K47" s="18"/>
      <c r="L47" s="18"/>
      <c r="M47" s="18"/>
      <c r="N47" s="22"/>
      <c r="O47" s="18"/>
      <c r="P47" s="18"/>
      <c r="Q47" s="40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35"/>
      <c r="BB47" s="24"/>
      <c r="BC47" s="17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5"/>
      <c r="FO47" s="15"/>
      <c r="FP47" s="15"/>
      <c r="FQ47" s="15"/>
      <c r="FR47" s="15"/>
      <c r="FS47" s="15"/>
      <c r="FT47" s="15"/>
      <c r="FU47" s="15"/>
      <c r="FV47" s="15"/>
      <c r="FW47" s="15"/>
      <c r="FX47" s="15"/>
      <c r="FY47" s="15"/>
      <c r="FZ47" s="15"/>
      <c r="GA47" s="15"/>
      <c r="GB47" s="15"/>
      <c r="GC47" s="15"/>
      <c r="GD47" s="15"/>
      <c r="GE47" s="15"/>
      <c r="GF47" s="15"/>
      <c r="GG47" s="15"/>
      <c r="GH47" s="15"/>
      <c r="GI47" s="15"/>
      <c r="GJ47" s="15"/>
      <c r="GK47" s="15"/>
      <c r="GL47" s="15"/>
      <c r="GM47" s="15"/>
      <c r="GN47" s="15"/>
      <c r="GO47" s="15"/>
      <c r="GP47" s="15"/>
      <c r="GQ47" s="15"/>
      <c r="GR47" s="15"/>
      <c r="GS47" s="15"/>
      <c r="GT47" s="15"/>
      <c r="GU47" s="15"/>
      <c r="GV47" s="15"/>
    </row>
    <row r="48" spans="2:204" x14ac:dyDescent="0.2">
      <c r="B48" s="18"/>
      <c r="C48" s="18" t="s">
        <v>98</v>
      </c>
      <c r="D48" s="18"/>
      <c r="E48" s="45"/>
      <c r="F48" s="19"/>
      <c r="G48" s="20" t="e">
        <f t="shared" si="8"/>
        <v>#N/A</v>
      </c>
      <c r="H48" s="20" t="e">
        <f t="shared" si="9"/>
        <v>#N/A</v>
      </c>
      <c r="I48" s="21"/>
      <c r="J48" s="21"/>
      <c r="K48" s="18"/>
      <c r="L48" s="18"/>
      <c r="M48" s="18"/>
      <c r="N48" s="22"/>
      <c r="O48" s="18"/>
      <c r="P48" s="21"/>
      <c r="Q48" s="39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35"/>
      <c r="BB48" s="24"/>
      <c r="BC48" s="17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15"/>
      <c r="CQ48" s="15"/>
      <c r="CR48" s="15"/>
      <c r="CS48" s="15"/>
      <c r="CT48" s="15"/>
      <c r="CU48" s="15"/>
      <c r="CV48" s="15"/>
      <c r="CW48" s="15"/>
      <c r="CX48" s="15"/>
      <c r="CY48" s="15"/>
      <c r="CZ48" s="15"/>
      <c r="DA48" s="15"/>
      <c r="DB48" s="15"/>
      <c r="DC48" s="15"/>
      <c r="DD48" s="15"/>
      <c r="DE48" s="15"/>
      <c r="DF48" s="15"/>
      <c r="DG48" s="15"/>
      <c r="DH48" s="15"/>
      <c r="DI48" s="15"/>
      <c r="DJ48" s="15"/>
      <c r="DK48" s="15"/>
      <c r="DL48" s="15"/>
      <c r="DM48" s="15"/>
      <c r="DN48" s="15"/>
      <c r="DO48" s="15"/>
      <c r="DP48" s="15"/>
      <c r="DQ48" s="15"/>
      <c r="DR48" s="15"/>
      <c r="DS48" s="15"/>
      <c r="DT48" s="15"/>
      <c r="DU48" s="15"/>
      <c r="DV48" s="15"/>
      <c r="DW48" s="15"/>
      <c r="DX48" s="15"/>
      <c r="DY48" s="15"/>
      <c r="DZ48" s="15"/>
      <c r="EA48" s="15"/>
      <c r="EB48" s="15"/>
      <c r="EC48" s="15"/>
      <c r="ED48" s="15"/>
      <c r="EE48" s="15"/>
      <c r="EF48" s="15"/>
      <c r="EG48" s="15"/>
      <c r="EH48" s="15"/>
      <c r="EI48" s="15"/>
      <c r="EJ48" s="15"/>
      <c r="EK48" s="15"/>
      <c r="EL48" s="15"/>
      <c r="EM48" s="15"/>
      <c r="EN48" s="15"/>
      <c r="EO48" s="15"/>
      <c r="EP48" s="15"/>
      <c r="EQ48" s="15"/>
      <c r="ER48" s="15"/>
      <c r="ES48" s="15"/>
      <c r="ET48" s="15"/>
      <c r="EU48" s="15"/>
      <c r="EV48" s="15"/>
      <c r="EW48" s="15"/>
      <c r="EX48" s="15"/>
      <c r="EY48" s="15"/>
      <c r="EZ48" s="15"/>
      <c r="FA48" s="15"/>
      <c r="FB48" s="15"/>
      <c r="FC48" s="15"/>
      <c r="FD48" s="15"/>
      <c r="FE48" s="15"/>
      <c r="FF48" s="15"/>
      <c r="FG48" s="15"/>
      <c r="FH48" s="15"/>
      <c r="FI48" s="15"/>
      <c r="FJ48" s="15"/>
      <c r="FK48" s="15"/>
      <c r="FL48" s="15"/>
      <c r="FM48" s="15"/>
      <c r="FN48" s="15"/>
      <c r="FO48" s="15"/>
      <c r="FP48" s="15"/>
      <c r="FQ48" s="15"/>
      <c r="FR48" s="15"/>
      <c r="FS48" s="15"/>
      <c r="FT48" s="15"/>
      <c r="FU48" s="15"/>
      <c r="FV48" s="15"/>
      <c r="FW48" s="15"/>
      <c r="FX48" s="15"/>
      <c r="FY48" s="15"/>
      <c r="FZ48" s="15"/>
      <c r="GA48" s="15"/>
      <c r="GB48" s="15"/>
      <c r="GC48" s="15"/>
      <c r="GD48" s="15"/>
      <c r="GE48" s="15"/>
      <c r="GF48" s="15"/>
      <c r="GG48" s="15"/>
      <c r="GH48" s="15"/>
      <c r="GI48" s="15"/>
      <c r="GJ48" s="15"/>
      <c r="GK48" s="15"/>
      <c r="GL48" s="15"/>
      <c r="GM48" s="15"/>
      <c r="GN48" s="15"/>
      <c r="GO48" s="15"/>
      <c r="GP48" s="15"/>
      <c r="GQ48" s="15"/>
      <c r="GR48" s="15"/>
      <c r="GS48" s="15"/>
      <c r="GT48" s="15"/>
      <c r="GU48" s="15"/>
      <c r="GV48" s="15"/>
    </row>
    <row r="49" spans="2:204" x14ac:dyDescent="0.2">
      <c r="B49" s="18"/>
      <c r="C49" s="18" t="s">
        <v>99</v>
      </c>
      <c r="D49" s="18"/>
      <c r="E49" s="45"/>
      <c r="F49" s="19"/>
      <c r="G49" s="20" t="e">
        <f t="shared" si="8"/>
        <v>#N/A</v>
      </c>
      <c r="H49" s="20" t="e">
        <f t="shared" si="9"/>
        <v>#N/A</v>
      </c>
      <c r="I49" s="21"/>
      <c r="J49" s="21"/>
      <c r="K49" s="18"/>
      <c r="L49" s="18"/>
      <c r="M49" s="18"/>
      <c r="N49" s="22"/>
      <c r="O49" s="18"/>
      <c r="P49" s="21"/>
      <c r="Q49" s="39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35"/>
      <c r="BB49" s="24"/>
      <c r="BC49" s="17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  <c r="CQ49" s="15"/>
      <c r="CR49" s="15"/>
      <c r="CS49" s="15"/>
      <c r="CT49" s="15"/>
      <c r="CU49" s="15"/>
      <c r="CV49" s="15"/>
      <c r="CW49" s="15"/>
      <c r="CX49" s="15"/>
      <c r="CY49" s="15"/>
      <c r="CZ49" s="15"/>
      <c r="DA49" s="15"/>
      <c r="DB49" s="15"/>
      <c r="DC49" s="15"/>
      <c r="DD49" s="15"/>
      <c r="DE49" s="15"/>
      <c r="DF49" s="15"/>
      <c r="DG49" s="15"/>
      <c r="DH49" s="15"/>
      <c r="DI49" s="15"/>
      <c r="DJ49" s="15"/>
      <c r="DK49" s="15"/>
      <c r="DL49" s="15"/>
      <c r="DM49" s="15"/>
      <c r="DN49" s="15"/>
      <c r="DO49" s="15"/>
      <c r="DP49" s="15"/>
      <c r="DQ49" s="15"/>
      <c r="DR49" s="15"/>
      <c r="DS49" s="15"/>
      <c r="DT49" s="15"/>
      <c r="DU49" s="15"/>
      <c r="DV49" s="15"/>
      <c r="DW49" s="15"/>
      <c r="DX49" s="15"/>
      <c r="DY49" s="15"/>
      <c r="DZ49" s="15"/>
      <c r="EA49" s="15"/>
      <c r="EB49" s="15"/>
      <c r="EC49" s="15"/>
      <c r="ED49" s="15"/>
      <c r="EE49" s="15"/>
      <c r="EF49" s="15"/>
      <c r="EG49" s="15"/>
      <c r="EH49" s="15"/>
      <c r="EI49" s="15"/>
      <c r="EJ49" s="15"/>
      <c r="EK49" s="15"/>
      <c r="EL49" s="15"/>
      <c r="EM49" s="15"/>
      <c r="EN49" s="15"/>
      <c r="EO49" s="15"/>
      <c r="EP49" s="15"/>
      <c r="EQ49" s="15"/>
      <c r="ER49" s="15"/>
      <c r="ES49" s="15"/>
      <c r="ET49" s="15"/>
      <c r="EU49" s="15"/>
      <c r="EV49" s="15"/>
      <c r="EW49" s="15"/>
      <c r="EX49" s="15"/>
      <c r="EY49" s="15"/>
      <c r="EZ49" s="15"/>
      <c r="FA49" s="15"/>
      <c r="FB49" s="15"/>
      <c r="FC49" s="15"/>
      <c r="FD49" s="15"/>
      <c r="FE49" s="15"/>
      <c r="FF49" s="15"/>
      <c r="FG49" s="15"/>
      <c r="FH49" s="15"/>
      <c r="FI49" s="15"/>
      <c r="FJ49" s="15"/>
      <c r="FK49" s="15"/>
      <c r="FL49" s="15"/>
      <c r="FM49" s="15"/>
      <c r="FN49" s="15"/>
      <c r="FO49" s="15"/>
      <c r="FP49" s="15"/>
      <c r="FQ49" s="15"/>
      <c r="FR49" s="15"/>
      <c r="FS49" s="15"/>
      <c r="FT49" s="15"/>
      <c r="FU49" s="15"/>
      <c r="FV49" s="15"/>
      <c r="FW49" s="15"/>
      <c r="FX49" s="15"/>
      <c r="FY49" s="15"/>
      <c r="FZ49" s="15"/>
      <c r="GA49" s="15"/>
      <c r="GB49" s="15"/>
      <c r="GC49" s="15"/>
      <c r="GD49" s="15"/>
      <c r="GE49" s="15"/>
      <c r="GF49" s="15"/>
      <c r="GG49" s="15"/>
      <c r="GH49" s="15"/>
      <c r="GI49" s="15"/>
      <c r="GJ49" s="15"/>
      <c r="GK49" s="15"/>
      <c r="GL49" s="15"/>
      <c r="GM49" s="15"/>
      <c r="GN49" s="15"/>
      <c r="GO49" s="15"/>
      <c r="GP49" s="15"/>
      <c r="GQ49" s="15"/>
      <c r="GR49" s="15"/>
      <c r="GS49" s="15"/>
      <c r="GT49" s="15"/>
      <c r="GU49" s="15"/>
      <c r="GV49" s="15"/>
    </row>
    <row r="50" spans="2:204" x14ac:dyDescent="0.2">
      <c r="B50" s="18"/>
      <c r="C50" s="18" t="s">
        <v>100</v>
      </c>
      <c r="D50" s="18"/>
      <c r="E50" s="45"/>
      <c r="F50" s="19"/>
      <c r="G50" s="20" t="e">
        <f t="shared" si="8"/>
        <v>#N/A</v>
      </c>
      <c r="H50" s="20" t="e">
        <f t="shared" si="9"/>
        <v>#N/A</v>
      </c>
      <c r="I50" s="21"/>
      <c r="J50" s="21"/>
      <c r="K50" s="18"/>
      <c r="L50" s="18"/>
      <c r="M50" s="18"/>
      <c r="N50" s="22"/>
      <c r="O50" s="18"/>
      <c r="P50" s="21"/>
      <c r="Q50" s="39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35"/>
      <c r="BB50" s="24"/>
      <c r="BC50" s="17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5"/>
      <c r="CC50" s="15"/>
      <c r="CD50" s="15"/>
      <c r="CE50" s="15"/>
      <c r="CF50" s="15"/>
      <c r="CG50" s="15"/>
      <c r="CH50" s="15"/>
      <c r="CI50" s="15"/>
      <c r="CJ50" s="15"/>
      <c r="CK50" s="15"/>
      <c r="CL50" s="15"/>
      <c r="CM50" s="15"/>
      <c r="CN50" s="15"/>
      <c r="CO50" s="15"/>
      <c r="CP50" s="15"/>
      <c r="CQ50" s="15"/>
      <c r="CR50" s="15"/>
      <c r="CS50" s="15"/>
      <c r="CT50" s="15"/>
      <c r="CU50" s="15"/>
      <c r="CV50" s="15"/>
      <c r="CW50" s="15"/>
      <c r="CX50" s="15"/>
      <c r="CY50" s="15"/>
      <c r="CZ50" s="15"/>
      <c r="DA50" s="15"/>
      <c r="DB50" s="15"/>
      <c r="DC50" s="15"/>
      <c r="DD50" s="15"/>
      <c r="DE50" s="15"/>
      <c r="DF50" s="15"/>
      <c r="DG50" s="15"/>
      <c r="DH50" s="15"/>
      <c r="DI50" s="15"/>
      <c r="DJ50" s="15"/>
      <c r="DK50" s="15"/>
      <c r="DL50" s="15"/>
      <c r="DM50" s="15"/>
      <c r="DN50" s="15"/>
      <c r="DO50" s="15"/>
      <c r="DP50" s="15"/>
      <c r="DQ50" s="15"/>
      <c r="DR50" s="15"/>
      <c r="DS50" s="15"/>
      <c r="DT50" s="15"/>
      <c r="DU50" s="15"/>
      <c r="DV50" s="15"/>
      <c r="DW50" s="15"/>
      <c r="DX50" s="15"/>
      <c r="DY50" s="15"/>
      <c r="DZ50" s="15"/>
      <c r="EA50" s="15"/>
      <c r="EB50" s="15"/>
      <c r="EC50" s="15"/>
      <c r="ED50" s="15"/>
      <c r="EE50" s="15"/>
      <c r="EF50" s="15"/>
      <c r="EG50" s="15"/>
      <c r="EH50" s="15"/>
      <c r="EI50" s="15"/>
      <c r="EJ50" s="15"/>
      <c r="EK50" s="15"/>
      <c r="EL50" s="15"/>
      <c r="EM50" s="15"/>
      <c r="EN50" s="15"/>
      <c r="EO50" s="15"/>
      <c r="EP50" s="15"/>
      <c r="EQ50" s="15"/>
      <c r="ER50" s="15"/>
      <c r="ES50" s="15"/>
      <c r="ET50" s="15"/>
      <c r="EU50" s="15"/>
      <c r="EV50" s="15"/>
      <c r="EW50" s="15"/>
      <c r="EX50" s="15"/>
      <c r="EY50" s="15"/>
      <c r="EZ50" s="15"/>
      <c r="FA50" s="15"/>
      <c r="FB50" s="15"/>
      <c r="FC50" s="15"/>
      <c r="FD50" s="15"/>
      <c r="FE50" s="15"/>
      <c r="FF50" s="15"/>
      <c r="FG50" s="15"/>
      <c r="FH50" s="15"/>
      <c r="FI50" s="15"/>
      <c r="FJ50" s="15"/>
      <c r="FK50" s="15"/>
      <c r="FL50" s="15"/>
      <c r="FM50" s="15"/>
      <c r="FN50" s="15"/>
      <c r="FO50" s="15"/>
      <c r="FP50" s="15"/>
      <c r="FQ50" s="15"/>
      <c r="FR50" s="15"/>
      <c r="FS50" s="15"/>
      <c r="FT50" s="15"/>
      <c r="FU50" s="15"/>
      <c r="FV50" s="15"/>
      <c r="FW50" s="15"/>
      <c r="FX50" s="15"/>
      <c r="FY50" s="15"/>
      <c r="FZ50" s="15"/>
      <c r="GA50" s="15"/>
      <c r="GB50" s="15"/>
      <c r="GC50" s="15"/>
      <c r="GD50" s="15"/>
      <c r="GE50" s="15"/>
      <c r="GF50" s="15"/>
      <c r="GG50" s="15"/>
      <c r="GH50" s="15"/>
      <c r="GI50" s="15"/>
      <c r="GJ50" s="15"/>
      <c r="GK50" s="15"/>
      <c r="GL50" s="15"/>
      <c r="GM50" s="15"/>
      <c r="GN50" s="15"/>
      <c r="GO50" s="15"/>
      <c r="GP50" s="15"/>
      <c r="GQ50" s="15"/>
      <c r="GR50" s="15"/>
      <c r="GS50" s="15"/>
      <c r="GT50" s="15"/>
      <c r="GU50" s="15"/>
      <c r="GV50" s="15"/>
    </row>
    <row r="51" spans="2:204" x14ac:dyDescent="0.2">
      <c r="B51" s="18"/>
      <c r="C51" s="18" t="s">
        <v>101</v>
      </c>
      <c r="D51" s="18"/>
      <c r="E51" s="45"/>
      <c r="F51" s="19"/>
      <c r="G51" s="20" t="e">
        <f t="shared" si="8"/>
        <v>#N/A</v>
      </c>
      <c r="H51" s="20" t="e">
        <f t="shared" si="9"/>
        <v>#N/A</v>
      </c>
      <c r="I51" s="21"/>
      <c r="J51" s="21"/>
      <c r="K51" s="18"/>
      <c r="L51" s="18"/>
      <c r="M51" s="18"/>
      <c r="N51" s="22"/>
      <c r="O51" s="18"/>
      <c r="P51" s="21"/>
      <c r="Q51" s="39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35"/>
      <c r="BB51" s="24"/>
      <c r="BC51" s="17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5"/>
      <c r="DP51" s="15"/>
      <c r="DQ51" s="15"/>
      <c r="DR51" s="15"/>
      <c r="DS51" s="15"/>
      <c r="DT51" s="15"/>
      <c r="DU51" s="15"/>
      <c r="DV51" s="15"/>
      <c r="DW51" s="15"/>
      <c r="DX51" s="15"/>
      <c r="DY51" s="15"/>
      <c r="DZ51" s="15"/>
      <c r="EA51" s="15"/>
      <c r="EB51" s="15"/>
      <c r="EC51" s="15"/>
      <c r="ED51" s="15"/>
      <c r="EE51" s="15"/>
      <c r="EF51" s="15"/>
      <c r="EG51" s="15"/>
      <c r="EH51" s="15"/>
      <c r="EI51" s="15"/>
      <c r="EJ51" s="15"/>
      <c r="EK51" s="15"/>
      <c r="EL51" s="15"/>
      <c r="EM51" s="15"/>
      <c r="EN51" s="15"/>
      <c r="EO51" s="15"/>
      <c r="EP51" s="15"/>
      <c r="EQ51" s="15"/>
      <c r="ER51" s="15"/>
      <c r="ES51" s="15"/>
      <c r="ET51" s="15"/>
      <c r="EU51" s="15"/>
      <c r="EV51" s="15"/>
      <c r="EW51" s="15"/>
      <c r="EX51" s="15"/>
      <c r="EY51" s="15"/>
      <c r="EZ51" s="15"/>
      <c r="FA51" s="15"/>
      <c r="FB51" s="15"/>
      <c r="FC51" s="15"/>
      <c r="FD51" s="15"/>
      <c r="FE51" s="15"/>
      <c r="FF51" s="15"/>
      <c r="FG51" s="15"/>
      <c r="FH51" s="15"/>
      <c r="FI51" s="15"/>
      <c r="FJ51" s="15"/>
      <c r="FK51" s="15"/>
      <c r="FL51" s="15"/>
      <c r="FM51" s="15"/>
      <c r="FN51" s="15"/>
      <c r="FO51" s="15"/>
      <c r="FP51" s="15"/>
      <c r="FQ51" s="15"/>
      <c r="FR51" s="15"/>
      <c r="FS51" s="15"/>
      <c r="FT51" s="15"/>
      <c r="FU51" s="15"/>
      <c r="FV51" s="15"/>
      <c r="FW51" s="15"/>
      <c r="FX51" s="15"/>
      <c r="FY51" s="15"/>
      <c r="FZ51" s="15"/>
      <c r="GA51" s="15"/>
      <c r="GB51" s="15"/>
      <c r="GC51" s="15"/>
      <c r="GD51" s="15"/>
      <c r="GE51" s="15"/>
      <c r="GF51" s="15"/>
      <c r="GG51" s="15"/>
      <c r="GH51" s="15"/>
      <c r="GI51" s="15"/>
      <c r="GJ51" s="15"/>
      <c r="GK51" s="15"/>
      <c r="GL51" s="15"/>
      <c r="GM51" s="15"/>
      <c r="GN51" s="15"/>
      <c r="GO51" s="15"/>
      <c r="GP51" s="15"/>
      <c r="GQ51" s="15"/>
      <c r="GR51" s="15"/>
      <c r="GS51" s="15"/>
      <c r="GT51" s="15"/>
      <c r="GU51" s="15"/>
      <c r="GV51" s="15"/>
    </row>
    <row r="52" spans="2:204" x14ac:dyDescent="0.2">
      <c r="B52" s="18"/>
      <c r="C52" s="18" t="s">
        <v>102</v>
      </c>
      <c r="D52" s="18"/>
      <c r="E52" s="45"/>
      <c r="F52" s="19"/>
      <c r="G52" s="20" t="e">
        <f t="shared" si="8"/>
        <v>#N/A</v>
      </c>
      <c r="H52" s="20" t="e">
        <f t="shared" si="9"/>
        <v>#N/A</v>
      </c>
      <c r="I52" s="18"/>
      <c r="J52" s="18"/>
      <c r="K52" s="18"/>
      <c r="L52" s="18"/>
      <c r="M52" s="18"/>
      <c r="N52" s="22"/>
      <c r="O52" s="18"/>
      <c r="P52" s="18"/>
      <c r="Q52" s="40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35"/>
      <c r="BB52" s="24"/>
      <c r="BC52" s="17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5"/>
      <c r="DP52" s="15"/>
      <c r="DQ52" s="15"/>
      <c r="DR52" s="15"/>
      <c r="DS52" s="15"/>
      <c r="DT52" s="15"/>
      <c r="DU52" s="15"/>
      <c r="DV52" s="15"/>
      <c r="DW52" s="15"/>
      <c r="DX52" s="15"/>
      <c r="DY52" s="15"/>
      <c r="DZ52" s="15"/>
      <c r="EA52" s="15"/>
      <c r="EB52" s="15"/>
      <c r="EC52" s="15"/>
      <c r="ED52" s="15"/>
      <c r="EE52" s="15"/>
      <c r="EF52" s="15"/>
      <c r="EG52" s="15"/>
      <c r="EH52" s="15"/>
      <c r="EI52" s="15"/>
      <c r="EJ52" s="15"/>
      <c r="EK52" s="15"/>
      <c r="EL52" s="15"/>
      <c r="EM52" s="15"/>
      <c r="EN52" s="15"/>
      <c r="EO52" s="15"/>
      <c r="EP52" s="15"/>
      <c r="EQ52" s="15"/>
      <c r="ER52" s="15"/>
      <c r="ES52" s="15"/>
      <c r="ET52" s="15"/>
      <c r="EU52" s="15"/>
      <c r="EV52" s="15"/>
      <c r="EW52" s="15"/>
      <c r="EX52" s="15"/>
      <c r="EY52" s="15"/>
      <c r="EZ52" s="15"/>
      <c r="FA52" s="15"/>
      <c r="FB52" s="15"/>
      <c r="FC52" s="15"/>
      <c r="FD52" s="15"/>
      <c r="FE52" s="15"/>
      <c r="FF52" s="15"/>
      <c r="FG52" s="15"/>
      <c r="FH52" s="15"/>
      <c r="FI52" s="15"/>
      <c r="FJ52" s="15"/>
      <c r="FK52" s="15"/>
      <c r="FL52" s="15"/>
      <c r="FM52" s="15"/>
      <c r="FN52" s="15"/>
      <c r="FO52" s="15"/>
      <c r="FP52" s="15"/>
      <c r="FQ52" s="15"/>
      <c r="FR52" s="15"/>
      <c r="FS52" s="15"/>
      <c r="FT52" s="15"/>
      <c r="FU52" s="15"/>
      <c r="FV52" s="15"/>
      <c r="FW52" s="15"/>
      <c r="FX52" s="15"/>
      <c r="FY52" s="15"/>
      <c r="FZ52" s="15"/>
      <c r="GA52" s="15"/>
      <c r="GB52" s="15"/>
      <c r="GC52" s="15"/>
      <c r="GD52" s="15"/>
      <c r="GE52" s="15"/>
      <c r="GF52" s="15"/>
      <c r="GG52" s="15"/>
      <c r="GH52" s="15"/>
      <c r="GI52" s="15"/>
      <c r="GJ52" s="15"/>
      <c r="GK52" s="15"/>
      <c r="GL52" s="15"/>
      <c r="GM52" s="15"/>
      <c r="GN52" s="15"/>
      <c r="GO52" s="15"/>
      <c r="GP52" s="15"/>
      <c r="GQ52" s="15"/>
      <c r="GR52" s="15"/>
      <c r="GS52" s="15"/>
      <c r="GT52" s="15"/>
      <c r="GU52" s="15"/>
      <c r="GV52" s="15"/>
    </row>
    <row r="53" spans="2:204" x14ac:dyDescent="0.2">
      <c r="B53" s="18"/>
      <c r="C53" s="18" t="s">
        <v>103</v>
      </c>
      <c r="D53" s="18"/>
      <c r="E53" s="45"/>
      <c r="F53" s="19"/>
      <c r="G53" s="20" t="e">
        <f t="shared" si="8"/>
        <v>#N/A</v>
      </c>
      <c r="H53" s="20" t="e">
        <f t="shared" si="9"/>
        <v>#N/A</v>
      </c>
      <c r="I53" s="18"/>
      <c r="J53" s="18"/>
      <c r="K53" s="18"/>
      <c r="L53" s="18"/>
      <c r="M53" s="18"/>
      <c r="N53" s="22"/>
      <c r="O53" s="18"/>
      <c r="P53" s="18"/>
      <c r="Q53" s="40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35"/>
      <c r="BB53" s="24"/>
      <c r="BC53" s="17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  <c r="CA53" s="15"/>
      <c r="CB53" s="15"/>
      <c r="CC53" s="15"/>
      <c r="CD53" s="15"/>
      <c r="CE53" s="15"/>
      <c r="CF53" s="15"/>
      <c r="CG53" s="15"/>
      <c r="CH53" s="15"/>
      <c r="CI53" s="15"/>
      <c r="CJ53" s="15"/>
      <c r="CK53" s="15"/>
      <c r="CL53" s="15"/>
      <c r="CM53" s="15"/>
      <c r="CN53" s="15"/>
      <c r="CO53" s="15"/>
      <c r="CP53" s="15"/>
      <c r="CQ53" s="15"/>
      <c r="CR53" s="15"/>
      <c r="CS53" s="15"/>
      <c r="CT53" s="15"/>
      <c r="CU53" s="15"/>
      <c r="CV53" s="15"/>
      <c r="CW53" s="15"/>
      <c r="CX53" s="15"/>
      <c r="CY53" s="15"/>
      <c r="CZ53" s="15"/>
      <c r="DA53" s="15"/>
      <c r="DB53" s="15"/>
      <c r="DC53" s="15"/>
      <c r="DD53" s="15"/>
      <c r="DE53" s="15"/>
      <c r="DF53" s="15"/>
      <c r="DG53" s="15"/>
      <c r="DH53" s="15"/>
      <c r="DI53" s="15"/>
      <c r="DJ53" s="15"/>
      <c r="DK53" s="15"/>
      <c r="DL53" s="15"/>
      <c r="DM53" s="15"/>
      <c r="DN53" s="15"/>
      <c r="DO53" s="15"/>
      <c r="DP53" s="15"/>
      <c r="DQ53" s="15"/>
      <c r="DR53" s="15"/>
      <c r="DS53" s="15"/>
      <c r="DT53" s="15"/>
      <c r="DU53" s="15"/>
      <c r="DV53" s="15"/>
      <c r="DW53" s="15"/>
      <c r="DX53" s="15"/>
      <c r="DY53" s="15"/>
      <c r="DZ53" s="15"/>
      <c r="EA53" s="15"/>
      <c r="EB53" s="15"/>
      <c r="EC53" s="15"/>
      <c r="ED53" s="15"/>
      <c r="EE53" s="15"/>
      <c r="EF53" s="15"/>
      <c r="EG53" s="15"/>
      <c r="EH53" s="15"/>
      <c r="EI53" s="15"/>
      <c r="EJ53" s="15"/>
      <c r="EK53" s="15"/>
      <c r="EL53" s="15"/>
      <c r="EM53" s="15"/>
      <c r="EN53" s="15"/>
      <c r="EO53" s="15"/>
      <c r="EP53" s="15"/>
      <c r="EQ53" s="15"/>
      <c r="ER53" s="15"/>
      <c r="ES53" s="15"/>
      <c r="ET53" s="15"/>
      <c r="EU53" s="15"/>
      <c r="EV53" s="15"/>
      <c r="EW53" s="15"/>
      <c r="EX53" s="15"/>
      <c r="EY53" s="15"/>
      <c r="EZ53" s="15"/>
      <c r="FA53" s="15"/>
      <c r="FB53" s="15"/>
      <c r="FC53" s="15"/>
      <c r="FD53" s="15"/>
      <c r="FE53" s="15"/>
      <c r="FF53" s="15"/>
      <c r="FG53" s="15"/>
      <c r="FH53" s="15"/>
      <c r="FI53" s="15"/>
      <c r="FJ53" s="15"/>
      <c r="FK53" s="15"/>
      <c r="FL53" s="15"/>
      <c r="FM53" s="15"/>
      <c r="FN53" s="15"/>
      <c r="FO53" s="15"/>
      <c r="FP53" s="15"/>
      <c r="FQ53" s="15"/>
      <c r="FR53" s="15"/>
      <c r="FS53" s="15"/>
      <c r="FT53" s="15"/>
      <c r="FU53" s="15"/>
      <c r="FV53" s="15"/>
      <c r="FW53" s="15"/>
      <c r="FX53" s="15"/>
      <c r="FY53" s="15"/>
      <c r="FZ53" s="15"/>
      <c r="GA53" s="15"/>
      <c r="GB53" s="15"/>
      <c r="GC53" s="15"/>
      <c r="GD53" s="15"/>
      <c r="GE53" s="15"/>
      <c r="GF53" s="15"/>
      <c r="GG53" s="15"/>
      <c r="GH53" s="15"/>
      <c r="GI53" s="15"/>
      <c r="GJ53" s="15"/>
      <c r="GK53" s="15"/>
      <c r="GL53" s="15"/>
      <c r="GM53" s="15"/>
      <c r="GN53" s="15"/>
      <c r="GO53" s="15"/>
      <c r="GP53" s="15"/>
      <c r="GQ53" s="15"/>
      <c r="GR53" s="15"/>
      <c r="GS53" s="15"/>
      <c r="GT53" s="15"/>
      <c r="GU53" s="15"/>
      <c r="GV53" s="15"/>
    </row>
    <row r="54" spans="2:204" x14ac:dyDescent="0.2">
      <c r="B54" s="18"/>
      <c r="C54" s="18" t="s">
        <v>104</v>
      </c>
      <c r="D54" s="18"/>
      <c r="E54" s="45"/>
      <c r="F54" s="19"/>
      <c r="G54" s="20" t="e">
        <f t="shared" ref="G54:G65" si="10">IF(F54=0,VLOOKUP(O54,$C$6:$O$36,6,FALSE),VLOOKUP(O54,$C$6:$O$36,6,FALSE)+1)</f>
        <v>#N/A</v>
      </c>
      <c r="H54" s="20" t="e">
        <f t="shared" ref="H54:H65" si="11">G54+F54</f>
        <v>#N/A</v>
      </c>
      <c r="I54" s="21"/>
      <c r="J54" s="21"/>
      <c r="K54" s="18"/>
      <c r="L54" s="18"/>
      <c r="M54" s="18"/>
      <c r="N54" s="22"/>
      <c r="O54" s="18"/>
      <c r="P54" s="21"/>
      <c r="Q54" s="39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35"/>
      <c r="BB54" s="24"/>
      <c r="BC54" s="17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5"/>
      <c r="CC54" s="15"/>
      <c r="CD54" s="15"/>
      <c r="CE54" s="15"/>
      <c r="CF54" s="15"/>
      <c r="CG54" s="15"/>
      <c r="CH54" s="15"/>
      <c r="CI54" s="15"/>
      <c r="CJ54" s="15"/>
      <c r="CK54" s="15"/>
      <c r="CL54" s="15"/>
      <c r="CM54" s="15"/>
      <c r="CN54" s="15"/>
      <c r="CO54" s="15"/>
      <c r="CP54" s="15"/>
      <c r="CQ54" s="15"/>
      <c r="CR54" s="15"/>
      <c r="CS54" s="15"/>
      <c r="CT54" s="15"/>
      <c r="CU54" s="15"/>
      <c r="CV54" s="15"/>
      <c r="CW54" s="15"/>
      <c r="CX54" s="15"/>
      <c r="CY54" s="15"/>
      <c r="CZ54" s="15"/>
      <c r="DA54" s="15"/>
      <c r="DB54" s="15"/>
      <c r="DC54" s="15"/>
      <c r="DD54" s="15"/>
      <c r="DE54" s="15"/>
      <c r="DF54" s="15"/>
      <c r="DG54" s="15"/>
      <c r="DH54" s="15"/>
      <c r="DI54" s="15"/>
      <c r="DJ54" s="15"/>
      <c r="DK54" s="15"/>
      <c r="DL54" s="15"/>
      <c r="DM54" s="15"/>
      <c r="DN54" s="15"/>
      <c r="DO54" s="15"/>
      <c r="DP54" s="15"/>
      <c r="DQ54" s="15"/>
      <c r="DR54" s="15"/>
      <c r="DS54" s="15"/>
      <c r="DT54" s="15"/>
      <c r="DU54" s="15"/>
      <c r="DV54" s="15"/>
      <c r="DW54" s="15"/>
      <c r="DX54" s="15"/>
      <c r="DY54" s="15"/>
      <c r="DZ54" s="15"/>
      <c r="EA54" s="15"/>
      <c r="EB54" s="15"/>
      <c r="EC54" s="15"/>
      <c r="ED54" s="15"/>
      <c r="EE54" s="15"/>
      <c r="EF54" s="15"/>
      <c r="EG54" s="15"/>
      <c r="EH54" s="15"/>
      <c r="EI54" s="15"/>
      <c r="EJ54" s="15"/>
      <c r="EK54" s="15"/>
      <c r="EL54" s="15"/>
      <c r="EM54" s="15"/>
      <c r="EN54" s="15"/>
      <c r="EO54" s="15"/>
      <c r="EP54" s="15"/>
      <c r="EQ54" s="15"/>
      <c r="ER54" s="15"/>
      <c r="ES54" s="15"/>
      <c r="ET54" s="15"/>
      <c r="EU54" s="15"/>
      <c r="EV54" s="15"/>
      <c r="EW54" s="15"/>
      <c r="EX54" s="15"/>
      <c r="EY54" s="15"/>
      <c r="EZ54" s="15"/>
      <c r="FA54" s="15"/>
      <c r="FB54" s="15"/>
      <c r="FC54" s="15"/>
      <c r="FD54" s="15"/>
      <c r="FE54" s="15"/>
      <c r="FF54" s="15"/>
      <c r="FG54" s="15"/>
      <c r="FH54" s="15"/>
      <c r="FI54" s="15"/>
      <c r="FJ54" s="15"/>
      <c r="FK54" s="15"/>
      <c r="FL54" s="15"/>
      <c r="FM54" s="15"/>
      <c r="FN54" s="15"/>
      <c r="FO54" s="15"/>
      <c r="FP54" s="15"/>
      <c r="FQ54" s="15"/>
      <c r="FR54" s="15"/>
      <c r="FS54" s="15"/>
      <c r="FT54" s="15"/>
      <c r="FU54" s="15"/>
      <c r="FV54" s="15"/>
      <c r="FW54" s="15"/>
      <c r="FX54" s="15"/>
      <c r="FY54" s="15"/>
      <c r="FZ54" s="15"/>
      <c r="GA54" s="15"/>
      <c r="GB54" s="15"/>
      <c r="GC54" s="15"/>
      <c r="GD54" s="15"/>
      <c r="GE54" s="15"/>
      <c r="GF54" s="15"/>
      <c r="GG54" s="15"/>
      <c r="GH54" s="15"/>
      <c r="GI54" s="15"/>
      <c r="GJ54" s="15"/>
      <c r="GK54" s="15"/>
      <c r="GL54" s="15"/>
      <c r="GM54" s="15"/>
      <c r="GN54" s="15"/>
      <c r="GO54" s="15"/>
      <c r="GP54" s="15"/>
      <c r="GQ54" s="15"/>
      <c r="GR54" s="15"/>
      <c r="GS54" s="15"/>
      <c r="GT54" s="15"/>
      <c r="GU54" s="15"/>
      <c r="GV54" s="15"/>
    </row>
    <row r="55" spans="2:204" x14ac:dyDescent="0.2">
      <c r="B55" s="18"/>
      <c r="C55" s="23" t="s">
        <v>105</v>
      </c>
      <c r="D55" s="18"/>
      <c r="E55" s="45"/>
      <c r="F55" s="19"/>
      <c r="G55" s="20" t="e">
        <f t="shared" si="10"/>
        <v>#N/A</v>
      </c>
      <c r="H55" s="20" t="e">
        <f t="shared" si="11"/>
        <v>#N/A</v>
      </c>
      <c r="I55" s="21"/>
      <c r="J55" s="21"/>
      <c r="K55" s="18"/>
      <c r="L55" s="18"/>
      <c r="M55" s="18"/>
      <c r="N55" s="22"/>
      <c r="O55" s="18"/>
      <c r="P55" s="21"/>
      <c r="Q55" s="39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35"/>
      <c r="BB55" s="24"/>
      <c r="BC55" s="17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5"/>
      <c r="CM55" s="15"/>
      <c r="CN55" s="15"/>
      <c r="CO55" s="15"/>
      <c r="CP55" s="15"/>
      <c r="CQ55" s="15"/>
      <c r="CR55" s="15"/>
      <c r="CS55" s="15"/>
      <c r="CT55" s="15"/>
      <c r="CU55" s="15"/>
      <c r="CV55" s="15"/>
      <c r="CW55" s="15"/>
      <c r="CX55" s="15"/>
      <c r="CY55" s="15"/>
      <c r="CZ55" s="15"/>
      <c r="DA55" s="15"/>
      <c r="DB55" s="15"/>
      <c r="DC55" s="15"/>
      <c r="DD55" s="15"/>
      <c r="DE55" s="15"/>
      <c r="DF55" s="15"/>
      <c r="DG55" s="15"/>
      <c r="DH55" s="15"/>
      <c r="DI55" s="15"/>
      <c r="DJ55" s="15"/>
      <c r="DK55" s="15"/>
      <c r="DL55" s="15"/>
      <c r="DM55" s="15"/>
      <c r="DN55" s="15"/>
      <c r="DO55" s="15"/>
      <c r="DP55" s="15"/>
      <c r="DQ55" s="15"/>
      <c r="DR55" s="15"/>
      <c r="DS55" s="15"/>
      <c r="DT55" s="15"/>
      <c r="DU55" s="15"/>
      <c r="DV55" s="15"/>
      <c r="DW55" s="15"/>
      <c r="DX55" s="15"/>
      <c r="DY55" s="15"/>
      <c r="DZ55" s="15"/>
      <c r="EA55" s="15"/>
      <c r="EB55" s="15"/>
      <c r="EC55" s="15"/>
      <c r="ED55" s="15"/>
      <c r="EE55" s="15"/>
      <c r="EF55" s="15"/>
      <c r="EG55" s="15"/>
      <c r="EH55" s="15"/>
      <c r="EI55" s="15"/>
      <c r="EJ55" s="15"/>
      <c r="EK55" s="15"/>
      <c r="EL55" s="15"/>
      <c r="EM55" s="15"/>
      <c r="EN55" s="15"/>
      <c r="EO55" s="15"/>
      <c r="EP55" s="15"/>
      <c r="EQ55" s="15"/>
      <c r="ER55" s="15"/>
      <c r="ES55" s="15"/>
      <c r="ET55" s="15"/>
      <c r="EU55" s="15"/>
      <c r="EV55" s="15"/>
      <c r="EW55" s="15"/>
      <c r="EX55" s="15"/>
      <c r="EY55" s="15"/>
      <c r="EZ55" s="15"/>
      <c r="FA55" s="15"/>
      <c r="FB55" s="15"/>
      <c r="FC55" s="15"/>
      <c r="FD55" s="15"/>
      <c r="FE55" s="15"/>
      <c r="FF55" s="15"/>
      <c r="FG55" s="15"/>
      <c r="FH55" s="15"/>
      <c r="FI55" s="15"/>
      <c r="FJ55" s="15"/>
      <c r="FK55" s="15"/>
      <c r="FL55" s="15"/>
      <c r="FM55" s="15"/>
      <c r="FN55" s="15"/>
      <c r="FO55" s="15"/>
      <c r="FP55" s="15"/>
      <c r="FQ55" s="15"/>
      <c r="FR55" s="15"/>
      <c r="FS55" s="15"/>
      <c r="FT55" s="15"/>
      <c r="FU55" s="15"/>
      <c r="FV55" s="15"/>
      <c r="FW55" s="15"/>
      <c r="FX55" s="15"/>
      <c r="FY55" s="15"/>
      <c r="FZ55" s="15"/>
      <c r="GA55" s="15"/>
      <c r="GB55" s="15"/>
      <c r="GC55" s="15"/>
      <c r="GD55" s="15"/>
      <c r="GE55" s="15"/>
      <c r="GF55" s="15"/>
      <c r="GG55" s="15"/>
      <c r="GH55" s="15"/>
      <c r="GI55" s="15"/>
      <c r="GJ55" s="15"/>
      <c r="GK55" s="15"/>
      <c r="GL55" s="15"/>
      <c r="GM55" s="15"/>
      <c r="GN55" s="15"/>
      <c r="GO55" s="15"/>
      <c r="GP55" s="15"/>
      <c r="GQ55" s="15"/>
      <c r="GR55" s="15"/>
      <c r="GS55" s="15"/>
      <c r="GT55" s="15"/>
      <c r="GU55" s="15"/>
      <c r="GV55" s="15"/>
    </row>
    <row r="56" spans="2:204" x14ac:dyDescent="0.2">
      <c r="B56" s="18"/>
      <c r="C56" s="23" t="s">
        <v>106</v>
      </c>
      <c r="D56" s="18"/>
      <c r="E56" s="45"/>
      <c r="F56" s="19"/>
      <c r="G56" s="20" t="e">
        <f t="shared" si="10"/>
        <v>#N/A</v>
      </c>
      <c r="H56" s="20" t="e">
        <f t="shared" si="11"/>
        <v>#N/A</v>
      </c>
      <c r="I56" s="21"/>
      <c r="J56" s="21"/>
      <c r="K56" s="18"/>
      <c r="L56" s="18"/>
      <c r="M56" s="18"/>
      <c r="N56" s="22"/>
      <c r="O56" s="18"/>
      <c r="P56" s="21"/>
      <c r="Q56" s="39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35"/>
      <c r="BB56" s="24"/>
      <c r="BC56" s="17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5"/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  <c r="EE56" s="15"/>
      <c r="EF56" s="15"/>
      <c r="EG56" s="15"/>
      <c r="EH56" s="15"/>
      <c r="EI56" s="15"/>
      <c r="EJ56" s="15"/>
      <c r="EK56" s="15"/>
      <c r="EL56" s="15"/>
      <c r="EM56" s="15"/>
      <c r="EN56" s="15"/>
      <c r="EO56" s="15"/>
      <c r="EP56" s="15"/>
      <c r="EQ56" s="15"/>
      <c r="ER56" s="15"/>
      <c r="ES56" s="15"/>
      <c r="ET56" s="15"/>
      <c r="EU56" s="15"/>
      <c r="EV56" s="15"/>
      <c r="EW56" s="15"/>
      <c r="EX56" s="15"/>
      <c r="EY56" s="15"/>
      <c r="EZ56" s="15"/>
      <c r="FA56" s="15"/>
      <c r="FB56" s="15"/>
      <c r="FC56" s="15"/>
      <c r="FD56" s="15"/>
      <c r="FE56" s="15"/>
      <c r="FF56" s="15"/>
      <c r="FG56" s="15"/>
      <c r="FH56" s="15"/>
      <c r="FI56" s="15"/>
      <c r="FJ56" s="15"/>
      <c r="FK56" s="15"/>
      <c r="FL56" s="15"/>
      <c r="FM56" s="15"/>
      <c r="FN56" s="15"/>
      <c r="FO56" s="15"/>
      <c r="FP56" s="15"/>
      <c r="FQ56" s="15"/>
      <c r="FR56" s="15"/>
      <c r="FS56" s="15"/>
      <c r="FT56" s="15"/>
      <c r="FU56" s="15"/>
      <c r="FV56" s="15"/>
      <c r="FW56" s="15"/>
      <c r="FX56" s="15"/>
      <c r="FY56" s="15"/>
      <c r="FZ56" s="15"/>
      <c r="GA56" s="15"/>
      <c r="GB56" s="15"/>
      <c r="GC56" s="15"/>
      <c r="GD56" s="15"/>
      <c r="GE56" s="15"/>
      <c r="GF56" s="15"/>
      <c r="GG56" s="15"/>
      <c r="GH56" s="15"/>
      <c r="GI56" s="15"/>
      <c r="GJ56" s="15"/>
      <c r="GK56" s="15"/>
      <c r="GL56" s="15"/>
      <c r="GM56" s="15"/>
      <c r="GN56" s="15"/>
      <c r="GO56" s="15"/>
      <c r="GP56" s="15"/>
      <c r="GQ56" s="15"/>
      <c r="GR56" s="15"/>
      <c r="GS56" s="15"/>
      <c r="GT56" s="15"/>
      <c r="GU56" s="15"/>
      <c r="GV56" s="15"/>
    </row>
    <row r="57" spans="2:204" x14ac:dyDescent="0.2">
      <c r="B57" s="18"/>
      <c r="C57" s="23" t="s">
        <v>107</v>
      </c>
      <c r="D57" s="18"/>
      <c r="E57" s="45"/>
      <c r="F57" s="19"/>
      <c r="G57" s="20" t="e">
        <f t="shared" si="10"/>
        <v>#N/A</v>
      </c>
      <c r="H57" s="20" t="e">
        <f t="shared" si="11"/>
        <v>#N/A</v>
      </c>
      <c r="I57" s="21"/>
      <c r="J57" s="21"/>
      <c r="K57" s="18"/>
      <c r="L57" s="18"/>
      <c r="M57" s="18"/>
      <c r="N57" s="22"/>
      <c r="O57" s="18"/>
      <c r="P57" s="21"/>
      <c r="Q57" s="39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35"/>
      <c r="BB57" s="24"/>
      <c r="BC57" s="17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5"/>
      <c r="CM57" s="15"/>
      <c r="CN57" s="15"/>
      <c r="CO57" s="15"/>
      <c r="CP57" s="15"/>
      <c r="CQ57" s="15"/>
      <c r="CR57" s="15"/>
      <c r="CS57" s="15"/>
      <c r="CT57" s="15"/>
      <c r="CU57" s="15"/>
      <c r="CV57" s="15"/>
      <c r="CW57" s="15"/>
      <c r="CX57" s="15"/>
      <c r="CY57" s="15"/>
      <c r="CZ57" s="15"/>
      <c r="DA57" s="15"/>
      <c r="DB57" s="15"/>
      <c r="DC57" s="15"/>
      <c r="DD57" s="15"/>
      <c r="DE57" s="15"/>
      <c r="DF57" s="15"/>
      <c r="DG57" s="15"/>
      <c r="DH57" s="15"/>
      <c r="DI57" s="15"/>
      <c r="DJ57" s="15"/>
      <c r="DK57" s="15"/>
      <c r="DL57" s="15"/>
      <c r="DM57" s="15"/>
      <c r="DN57" s="15"/>
      <c r="DO57" s="15"/>
      <c r="DP57" s="15"/>
      <c r="DQ57" s="15"/>
      <c r="DR57" s="15"/>
      <c r="DS57" s="15"/>
      <c r="DT57" s="15"/>
      <c r="DU57" s="15"/>
      <c r="DV57" s="15"/>
      <c r="DW57" s="15"/>
      <c r="DX57" s="15"/>
      <c r="DY57" s="15"/>
      <c r="DZ57" s="15"/>
      <c r="EA57" s="15"/>
      <c r="EB57" s="15"/>
      <c r="EC57" s="15"/>
      <c r="ED57" s="15"/>
      <c r="EE57" s="15"/>
      <c r="EF57" s="15"/>
      <c r="EG57" s="15"/>
      <c r="EH57" s="15"/>
      <c r="EI57" s="15"/>
      <c r="EJ57" s="15"/>
      <c r="EK57" s="15"/>
      <c r="EL57" s="15"/>
      <c r="EM57" s="15"/>
      <c r="EN57" s="15"/>
      <c r="EO57" s="15"/>
      <c r="EP57" s="15"/>
      <c r="EQ57" s="15"/>
      <c r="ER57" s="15"/>
      <c r="ES57" s="15"/>
      <c r="ET57" s="15"/>
      <c r="EU57" s="15"/>
      <c r="EV57" s="15"/>
      <c r="EW57" s="15"/>
      <c r="EX57" s="15"/>
      <c r="EY57" s="15"/>
      <c r="EZ57" s="15"/>
      <c r="FA57" s="15"/>
      <c r="FB57" s="15"/>
      <c r="FC57" s="15"/>
      <c r="FD57" s="15"/>
      <c r="FE57" s="15"/>
      <c r="FF57" s="15"/>
      <c r="FG57" s="15"/>
      <c r="FH57" s="15"/>
      <c r="FI57" s="15"/>
      <c r="FJ57" s="15"/>
      <c r="FK57" s="15"/>
      <c r="FL57" s="15"/>
      <c r="FM57" s="15"/>
      <c r="FN57" s="15"/>
      <c r="FO57" s="15"/>
      <c r="FP57" s="15"/>
      <c r="FQ57" s="15"/>
      <c r="FR57" s="15"/>
      <c r="FS57" s="15"/>
      <c r="FT57" s="15"/>
      <c r="FU57" s="15"/>
      <c r="FV57" s="15"/>
      <c r="FW57" s="15"/>
      <c r="FX57" s="15"/>
      <c r="FY57" s="15"/>
      <c r="FZ57" s="15"/>
      <c r="GA57" s="15"/>
      <c r="GB57" s="15"/>
      <c r="GC57" s="15"/>
      <c r="GD57" s="15"/>
      <c r="GE57" s="15"/>
      <c r="GF57" s="15"/>
      <c r="GG57" s="15"/>
      <c r="GH57" s="15"/>
      <c r="GI57" s="15"/>
      <c r="GJ57" s="15"/>
      <c r="GK57" s="15"/>
      <c r="GL57" s="15"/>
      <c r="GM57" s="15"/>
      <c r="GN57" s="15"/>
      <c r="GO57" s="15"/>
      <c r="GP57" s="15"/>
      <c r="GQ57" s="15"/>
      <c r="GR57" s="15"/>
      <c r="GS57" s="15"/>
      <c r="GT57" s="15"/>
      <c r="GU57" s="15"/>
      <c r="GV57" s="15"/>
    </row>
    <row r="58" spans="2:204" x14ac:dyDescent="0.2">
      <c r="B58" s="18"/>
      <c r="C58" s="18" t="s">
        <v>108</v>
      </c>
      <c r="D58" s="18"/>
      <c r="E58" s="45"/>
      <c r="F58" s="19"/>
      <c r="G58" s="20" t="e">
        <f t="shared" si="10"/>
        <v>#N/A</v>
      </c>
      <c r="H58" s="20" t="e">
        <f t="shared" si="11"/>
        <v>#N/A</v>
      </c>
      <c r="I58" s="21"/>
      <c r="J58" s="21"/>
      <c r="K58" s="18"/>
      <c r="L58" s="18"/>
      <c r="M58" s="18"/>
      <c r="N58" s="22"/>
      <c r="O58" s="18"/>
      <c r="P58" s="21"/>
      <c r="Q58" s="39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35"/>
      <c r="BB58" s="24"/>
      <c r="BC58" s="17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5"/>
      <c r="DP58" s="15"/>
      <c r="DQ58" s="15"/>
      <c r="DR58" s="15"/>
      <c r="DS58" s="15"/>
      <c r="DT58" s="15"/>
      <c r="DU58" s="15"/>
      <c r="DV58" s="15"/>
      <c r="DW58" s="15"/>
      <c r="DX58" s="15"/>
      <c r="DY58" s="15"/>
      <c r="DZ58" s="15"/>
      <c r="EA58" s="15"/>
      <c r="EB58" s="15"/>
      <c r="EC58" s="15"/>
      <c r="ED58" s="15"/>
      <c r="EE58" s="15"/>
      <c r="EF58" s="15"/>
      <c r="EG58" s="15"/>
      <c r="EH58" s="15"/>
      <c r="EI58" s="15"/>
      <c r="EJ58" s="15"/>
      <c r="EK58" s="15"/>
      <c r="EL58" s="15"/>
      <c r="EM58" s="15"/>
      <c r="EN58" s="15"/>
      <c r="EO58" s="15"/>
      <c r="EP58" s="15"/>
      <c r="EQ58" s="15"/>
      <c r="ER58" s="15"/>
      <c r="ES58" s="15"/>
      <c r="ET58" s="15"/>
      <c r="EU58" s="15"/>
      <c r="EV58" s="15"/>
      <c r="EW58" s="15"/>
      <c r="EX58" s="15"/>
      <c r="EY58" s="15"/>
      <c r="EZ58" s="15"/>
      <c r="FA58" s="15"/>
      <c r="FB58" s="15"/>
      <c r="FC58" s="15"/>
      <c r="FD58" s="15"/>
      <c r="FE58" s="15"/>
      <c r="FF58" s="15"/>
      <c r="FG58" s="15"/>
      <c r="FH58" s="15"/>
      <c r="FI58" s="15"/>
      <c r="FJ58" s="15"/>
      <c r="FK58" s="15"/>
      <c r="FL58" s="15"/>
      <c r="FM58" s="15"/>
      <c r="FN58" s="15"/>
      <c r="FO58" s="15"/>
      <c r="FP58" s="15"/>
      <c r="FQ58" s="15"/>
      <c r="FR58" s="15"/>
      <c r="FS58" s="15"/>
      <c r="FT58" s="15"/>
      <c r="FU58" s="15"/>
      <c r="FV58" s="15"/>
      <c r="FW58" s="15"/>
      <c r="FX58" s="15"/>
      <c r="FY58" s="15"/>
      <c r="FZ58" s="15"/>
      <c r="GA58" s="15"/>
      <c r="GB58" s="15"/>
      <c r="GC58" s="15"/>
      <c r="GD58" s="15"/>
      <c r="GE58" s="15"/>
      <c r="GF58" s="15"/>
      <c r="GG58" s="15"/>
      <c r="GH58" s="15"/>
      <c r="GI58" s="15"/>
      <c r="GJ58" s="15"/>
      <c r="GK58" s="15"/>
      <c r="GL58" s="15"/>
      <c r="GM58" s="15"/>
      <c r="GN58" s="15"/>
      <c r="GO58" s="15"/>
      <c r="GP58" s="15"/>
      <c r="GQ58" s="15"/>
      <c r="GR58" s="15"/>
      <c r="GS58" s="15"/>
      <c r="GT58" s="15"/>
      <c r="GU58" s="15"/>
      <c r="GV58" s="15"/>
    </row>
    <row r="59" spans="2:204" x14ac:dyDescent="0.2">
      <c r="B59" s="18"/>
      <c r="C59" s="18" t="s">
        <v>109</v>
      </c>
      <c r="D59" s="18"/>
      <c r="E59" s="45"/>
      <c r="F59" s="19"/>
      <c r="G59" s="20" t="e">
        <f t="shared" si="10"/>
        <v>#N/A</v>
      </c>
      <c r="H59" s="20" t="e">
        <f t="shared" si="11"/>
        <v>#N/A</v>
      </c>
      <c r="I59" s="21"/>
      <c r="J59" s="21"/>
      <c r="K59" s="18"/>
      <c r="L59" s="18"/>
      <c r="M59" s="18"/>
      <c r="N59" s="22"/>
      <c r="O59" s="18"/>
      <c r="P59" s="21"/>
      <c r="Q59" s="39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35"/>
      <c r="BB59" s="24"/>
      <c r="BC59" s="17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5"/>
      <c r="CM59" s="15"/>
      <c r="CN59" s="15"/>
      <c r="CO59" s="15"/>
      <c r="CP59" s="15"/>
      <c r="CQ59" s="15"/>
      <c r="CR59" s="15"/>
      <c r="CS59" s="15"/>
      <c r="CT59" s="15"/>
      <c r="CU59" s="15"/>
      <c r="CV59" s="15"/>
      <c r="CW59" s="15"/>
      <c r="CX59" s="15"/>
      <c r="CY59" s="15"/>
      <c r="CZ59" s="15"/>
      <c r="DA59" s="15"/>
      <c r="DB59" s="15"/>
      <c r="DC59" s="15"/>
      <c r="DD59" s="15"/>
      <c r="DE59" s="15"/>
      <c r="DF59" s="15"/>
      <c r="DG59" s="15"/>
      <c r="DH59" s="15"/>
      <c r="DI59" s="15"/>
      <c r="DJ59" s="15"/>
      <c r="DK59" s="15"/>
      <c r="DL59" s="15"/>
      <c r="DM59" s="15"/>
      <c r="DN59" s="15"/>
      <c r="DO59" s="15"/>
      <c r="DP59" s="15"/>
      <c r="DQ59" s="15"/>
      <c r="DR59" s="15"/>
      <c r="DS59" s="15"/>
      <c r="DT59" s="15"/>
      <c r="DU59" s="15"/>
      <c r="DV59" s="15"/>
      <c r="DW59" s="15"/>
      <c r="DX59" s="15"/>
      <c r="DY59" s="15"/>
      <c r="DZ59" s="15"/>
      <c r="EA59" s="15"/>
      <c r="EB59" s="15"/>
      <c r="EC59" s="15"/>
      <c r="ED59" s="15"/>
      <c r="EE59" s="15"/>
      <c r="EF59" s="15"/>
      <c r="EG59" s="15"/>
      <c r="EH59" s="15"/>
      <c r="EI59" s="15"/>
      <c r="EJ59" s="15"/>
      <c r="EK59" s="15"/>
      <c r="EL59" s="15"/>
      <c r="EM59" s="15"/>
      <c r="EN59" s="15"/>
      <c r="EO59" s="15"/>
      <c r="EP59" s="15"/>
      <c r="EQ59" s="15"/>
      <c r="ER59" s="15"/>
      <c r="ES59" s="15"/>
      <c r="ET59" s="15"/>
      <c r="EU59" s="15"/>
      <c r="EV59" s="15"/>
      <c r="EW59" s="15"/>
      <c r="EX59" s="15"/>
      <c r="EY59" s="15"/>
      <c r="EZ59" s="15"/>
      <c r="FA59" s="15"/>
      <c r="FB59" s="15"/>
      <c r="FC59" s="15"/>
      <c r="FD59" s="15"/>
      <c r="FE59" s="15"/>
      <c r="FF59" s="15"/>
      <c r="FG59" s="15"/>
      <c r="FH59" s="15"/>
      <c r="FI59" s="15"/>
      <c r="FJ59" s="15"/>
      <c r="FK59" s="15"/>
      <c r="FL59" s="15"/>
      <c r="FM59" s="15"/>
      <c r="FN59" s="15"/>
      <c r="FO59" s="15"/>
      <c r="FP59" s="15"/>
      <c r="FQ59" s="15"/>
      <c r="FR59" s="15"/>
      <c r="FS59" s="15"/>
      <c r="FT59" s="15"/>
      <c r="FU59" s="15"/>
      <c r="FV59" s="15"/>
      <c r="FW59" s="15"/>
      <c r="FX59" s="15"/>
      <c r="FY59" s="15"/>
      <c r="FZ59" s="15"/>
      <c r="GA59" s="15"/>
      <c r="GB59" s="15"/>
      <c r="GC59" s="15"/>
      <c r="GD59" s="15"/>
      <c r="GE59" s="15"/>
      <c r="GF59" s="15"/>
      <c r="GG59" s="15"/>
      <c r="GH59" s="15"/>
      <c r="GI59" s="15"/>
      <c r="GJ59" s="15"/>
      <c r="GK59" s="15"/>
      <c r="GL59" s="15"/>
      <c r="GM59" s="15"/>
      <c r="GN59" s="15"/>
      <c r="GO59" s="15"/>
      <c r="GP59" s="15"/>
      <c r="GQ59" s="15"/>
      <c r="GR59" s="15"/>
      <c r="GS59" s="15"/>
      <c r="GT59" s="15"/>
      <c r="GU59" s="15"/>
      <c r="GV59" s="15"/>
    </row>
    <row r="60" spans="2:204" x14ac:dyDescent="0.2">
      <c r="B60" s="18"/>
      <c r="C60" s="18" t="s">
        <v>110</v>
      </c>
      <c r="D60" s="18"/>
      <c r="E60" s="45"/>
      <c r="F60" s="19"/>
      <c r="G60" s="20" t="e">
        <f t="shared" si="10"/>
        <v>#N/A</v>
      </c>
      <c r="H60" s="20" t="e">
        <f t="shared" si="11"/>
        <v>#N/A</v>
      </c>
      <c r="I60" s="21"/>
      <c r="J60" s="21"/>
      <c r="K60" s="18"/>
      <c r="L60" s="18"/>
      <c r="M60" s="18"/>
      <c r="N60" s="22"/>
      <c r="O60" s="18"/>
      <c r="P60" s="21"/>
      <c r="Q60" s="39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35"/>
      <c r="BB60" s="24"/>
      <c r="BC60" s="17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K60" s="15"/>
      <c r="EL60" s="15"/>
      <c r="EM60" s="15"/>
      <c r="EN60" s="15"/>
      <c r="EO60" s="15"/>
      <c r="EP60" s="15"/>
      <c r="EQ60" s="15"/>
      <c r="ER60" s="15"/>
      <c r="ES60" s="15"/>
      <c r="ET60" s="15"/>
      <c r="EU60" s="15"/>
      <c r="EV60" s="15"/>
      <c r="EW60" s="15"/>
      <c r="EX60" s="15"/>
      <c r="EY60" s="15"/>
      <c r="EZ60" s="15"/>
      <c r="FA60" s="15"/>
      <c r="FB60" s="15"/>
      <c r="FC60" s="15"/>
      <c r="FD60" s="15"/>
      <c r="FE60" s="15"/>
      <c r="FF60" s="15"/>
      <c r="FG60" s="15"/>
      <c r="FH60" s="15"/>
      <c r="FI60" s="15"/>
      <c r="FJ60" s="15"/>
      <c r="FK60" s="15"/>
      <c r="FL60" s="15"/>
      <c r="FM60" s="15"/>
      <c r="FN60" s="15"/>
      <c r="FO60" s="15"/>
      <c r="FP60" s="15"/>
      <c r="FQ60" s="15"/>
      <c r="FR60" s="15"/>
      <c r="FS60" s="15"/>
      <c r="FT60" s="15"/>
      <c r="FU60" s="15"/>
      <c r="FV60" s="15"/>
      <c r="FW60" s="15"/>
      <c r="FX60" s="15"/>
      <c r="FY60" s="15"/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GS60" s="15"/>
      <c r="GT60" s="15"/>
      <c r="GU60" s="15"/>
      <c r="GV60" s="15"/>
    </row>
    <row r="61" spans="2:204" x14ac:dyDescent="0.2">
      <c r="B61" s="18"/>
      <c r="C61" s="18" t="s">
        <v>111</v>
      </c>
      <c r="D61" s="18"/>
      <c r="E61" s="45"/>
      <c r="F61" s="19"/>
      <c r="G61" s="20" t="e">
        <f t="shared" si="10"/>
        <v>#N/A</v>
      </c>
      <c r="H61" s="20" t="e">
        <f t="shared" si="11"/>
        <v>#N/A</v>
      </c>
      <c r="I61" s="21"/>
      <c r="J61" s="21"/>
      <c r="K61" s="18"/>
      <c r="L61" s="18"/>
      <c r="M61" s="18"/>
      <c r="N61" s="22"/>
      <c r="O61" s="18"/>
      <c r="P61" s="21"/>
      <c r="Q61" s="39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35"/>
      <c r="BB61" s="24"/>
      <c r="BC61" s="17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5"/>
      <c r="CM61" s="15"/>
      <c r="CN61" s="15"/>
      <c r="CO61" s="15"/>
      <c r="CP61" s="15"/>
      <c r="CQ61" s="15"/>
      <c r="CR61" s="15"/>
      <c r="CS61" s="15"/>
      <c r="CT61" s="15"/>
      <c r="CU61" s="15"/>
      <c r="CV61" s="15"/>
      <c r="CW61" s="15"/>
      <c r="CX61" s="15"/>
      <c r="CY61" s="15"/>
      <c r="CZ61" s="15"/>
      <c r="DA61" s="15"/>
      <c r="DB61" s="15"/>
      <c r="DC61" s="15"/>
      <c r="DD61" s="15"/>
      <c r="DE61" s="15"/>
      <c r="DF61" s="15"/>
      <c r="DG61" s="15"/>
      <c r="DH61" s="15"/>
      <c r="DI61" s="15"/>
      <c r="DJ61" s="15"/>
      <c r="DK61" s="15"/>
      <c r="DL61" s="15"/>
      <c r="DM61" s="15"/>
      <c r="DN61" s="15"/>
      <c r="DO61" s="15"/>
      <c r="DP61" s="15"/>
      <c r="DQ61" s="15"/>
      <c r="DR61" s="15"/>
      <c r="DS61" s="15"/>
      <c r="DT61" s="15"/>
      <c r="DU61" s="15"/>
      <c r="DV61" s="15"/>
      <c r="DW61" s="15"/>
      <c r="DX61" s="15"/>
      <c r="DY61" s="15"/>
      <c r="DZ61" s="15"/>
      <c r="EA61" s="15"/>
      <c r="EB61" s="15"/>
      <c r="EC61" s="15"/>
      <c r="ED61" s="15"/>
      <c r="EE61" s="15"/>
      <c r="EF61" s="15"/>
      <c r="EG61" s="15"/>
      <c r="EH61" s="15"/>
      <c r="EI61" s="15"/>
      <c r="EJ61" s="15"/>
      <c r="EK61" s="15"/>
      <c r="EL61" s="15"/>
      <c r="EM61" s="15"/>
      <c r="EN61" s="15"/>
      <c r="EO61" s="15"/>
      <c r="EP61" s="15"/>
      <c r="EQ61" s="15"/>
      <c r="ER61" s="15"/>
      <c r="ES61" s="15"/>
      <c r="ET61" s="15"/>
      <c r="EU61" s="15"/>
      <c r="EV61" s="15"/>
      <c r="EW61" s="15"/>
      <c r="EX61" s="15"/>
      <c r="EY61" s="15"/>
      <c r="EZ61" s="15"/>
      <c r="FA61" s="15"/>
      <c r="FB61" s="15"/>
      <c r="FC61" s="15"/>
      <c r="FD61" s="15"/>
      <c r="FE61" s="15"/>
      <c r="FF61" s="15"/>
      <c r="FG61" s="15"/>
      <c r="FH61" s="15"/>
      <c r="FI61" s="15"/>
      <c r="FJ61" s="15"/>
      <c r="FK61" s="15"/>
      <c r="FL61" s="15"/>
      <c r="FM61" s="15"/>
      <c r="FN61" s="15"/>
      <c r="FO61" s="15"/>
      <c r="FP61" s="15"/>
      <c r="FQ61" s="15"/>
      <c r="FR61" s="15"/>
      <c r="FS61" s="15"/>
      <c r="FT61" s="15"/>
      <c r="FU61" s="15"/>
      <c r="FV61" s="15"/>
      <c r="FW61" s="15"/>
      <c r="FX61" s="15"/>
      <c r="FY61" s="15"/>
      <c r="FZ61" s="15"/>
      <c r="GA61" s="15"/>
      <c r="GB61" s="15"/>
      <c r="GC61" s="15"/>
      <c r="GD61" s="15"/>
      <c r="GE61" s="15"/>
      <c r="GF61" s="15"/>
      <c r="GG61" s="15"/>
      <c r="GH61" s="15"/>
      <c r="GI61" s="15"/>
      <c r="GJ61" s="15"/>
      <c r="GK61" s="15"/>
      <c r="GL61" s="15"/>
      <c r="GM61" s="15"/>
      <c r="GN61" s="15"/>
      <c r="GO61" s="15"/>
      <c r="GP61" s="15"/>
      <c r="GQ61" s="15"/>
      <c r="GR61" s="15"/>
      <c r="GS61" s="15"/>
      <c r="GT61" s="15"/>
      <c r="GU61" s="15"/>
      <c r="GV61" s="15"/>
    </row>
    <row r="62" spans="2:204" x14ac:dyDescent="0.2">
      <c r="B62" s="18"/>
      <c r="C62" s="18" t="s">
        <v>112</v>
      </c>
      <c r="D62" s="18"/>
      <c r="E62" s="45"/>
      <c r="F62" s="19"/>
      <c r="G62" s="20" t="e">
        <f t="shared" si="10"/>
        <v>#N/A</v>
      </c>
      <c r="H62" s="20" t="e">
        <f t="shared" si="11"/>
        <v>#N/A</v>
      </c>
      <c r="I62" s="21"/>
      <c r="J62" s="21"/>
      <c r="K62" s="18"/>
      <c r="L62" s="18"/>
      <c r="M62" s="18"/>
      <c r="N62" s="22"/>
      <c r="O62" s="18"/>
      <c r="P62" s="21"/>
      <c r="Q62" s="39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35"/>
      <c r="BB62" s="24"/>
      <c r="BC62" s="17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</row>
    <row r="63" spans="2:204" x14ac:dyDescent="0.2">
      <c r="B63" s="18"/>
      <c r="C63" s="18" t="s">
        <v>113</v>
      </c>
      <c r="D63" s="18"/>
      <c r="E63" s="45"/>
      <c r="F63" s="19"/>
      <c r="G63" s="20" t="e">
        <f t="shared" si="10"/>
        <v>#N/A</v>
      </c>
      <c r="H63" s="20" t="e">
        <f t="shared" si="11"/>
        <v>#N/A</v>
      </c>
      <c r="I63" s="21"/>
      <c r="J63" s="21"/>
      <c r="K63" s="18"/>
      <c r="L63" s="18"/>
      <c r="M63" s="18"/>
      <c r="N63" s="22"/>
      <c r="O63" s="18"/>
      <c r="P63" s="21"/>
      <c r="Q63" s="39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35"/>
      <c r="BB63" s="24"/>
      <c r="BC63" s="17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15"/>
      <c r="DX63" s="15"/>
      <c r="DY63" s="15"/>
      <c r="DZ63" s="15"/>
      <c r="EA63" s="15"/>
      <c r="EB63" s="15"/>
      <c r="EC63" s="15"/>
      <c r="ED63" s="15"/>
      <c r="EE63" s="15"/>
      <c r="EF63" s="15"/>
      <c r="EG63" s="15"/>
      <c r="EH63" s="15"/>
      <c r="EI63" s="15"/>
      <c r="EJ63" s="15"/>
      <c r="EK63" s="15"/>
      <c r="EL63" s="15"/>
      <c r="EM63" s="15"/>
      <c r="EN63" s="15"/>
      <c r="EO63" s="15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N63" s="15"/>
      <c r="FO63" s="15"/>
      <c r="FP63" s="15"/>
      <c r="FQ63" s="15"/>
      <c r="FR63" s="15"/>
      <c r="FS63" s="15"/>
      <c r="FT63" s="15"/>
      <c r="FU63" s="15"/>
      <c r="FV63" s="15"/>
      <c r="FW63" s="15"/>
      <c r="FX63" s="15"/>
      <c r="FY63" s="15"/>
      <c r="FZ63" s="15"/>
      <c r="GA63" s="15"/>
      <c r="GB63" s="15"/>
      <c r="GC63" s="15"/>
      <c r="GD63" s="15"/>
      <c r="GE63" s="15"/>
      <c r="GF63" s="15"/>
      <c r="GG63" s="15"/>
      <c r="GH63" s="15"/>
      <c r="GI63" s="15"/>
      <c r="GJ63" s="15"/>
      <c r="GK63" s="15"/>
      <c r="GL63" s="15"/>
      <c r="GM63" s="15"/>
      <c r="GN63" s="15"/>
      <c r="GO63" s="15"/>
      <c r="GP63" s="15"/>
      <c r="GQ63" s="15"/>
      <c r="GR63" s="15"/>
      <c r="GS63" s="15"/>
      <c r="GT63" s="15"/>
      <c r="GU63" s="15"/>
      <c r="GV63" s="15"/>
    </row>
    <row r="64" spans="2:204" x14ac:dyDescent="0.2">
      <c r="B64" s="18"/>
      <c r="C64" s="18" t="s">
        <v>114</v>
      </c>
      <c r="D64" s="18"/>
      <c r="E64" s="45"/>
      <c r="F64" s="19"/>
      <c r="G64" s="20" t="e">
        <f t="shared" si="10"/>
        <v>#N/A</v>
      </c>
      <c r="H64" s="20" t="e">
        <f t="shared" si="11"/>
        <v>#N/A</v>
      </c>
      <c r="I64" s="18"/>
      <c r="J64" s="18"/>
      <c r="K64" s="18"/>
      <c r="L64" s="18"/>
      <c r="M64" s="18"/>
      <c r="N64" s="22"/>
      <c r="O64" s="18"/>
      <c r="P64" s="18"/>
      <c r="Q64" s="40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35"/>
      <c r="BB64" s="24"/>
      <c r="BC64" s="17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N64" s="15"/>
      <c r="FO64" s="15"/>
      <c r="FP64" s="15"/>
      <c r="FQ64" s="15"/>
      <c r="FR64" s="15"/>
      <c r="FS64" s="15"/>
      <c r="FT64" s="15"/>
      <c r="FU64" s="15"/>
      <c r="FV64" s="15"/>
      <c r="FW64" s="15"/>
      <c r="FX64" s="15"/>
      <c r="FY64" s="15"/>
      <c r="FZ64" s="15"/>
      <c r="GA64" s="15"/>
      <c r="GB64" s="15"/>
      <c r="GC64" s="15"/>
      <c r="GD64" s="15"/>
      <c r="GE64" s="15"/>
      <c r="GF64" s="15"/>
      <c r="GG64" s="15"/>
      <c r="GH64" s="15"/>
      <c r="GI64" s="15"/>
      <c r="GJ64" s="15"/>
      <c r="GK64" s="15"/>
      <c r="GL64" s="15"/>
      <c r="GM64" s="15"/>
      <c r="GN64" s="15"/>
      <c r="GO64" s="15"/>
      <c r="GP64" s="15"/>
      <c r="GQ64" s="15"/>
      <c r="GR64" s="15"/>
      <c r="GS64" s="15"/>
      <c r="GT64" s="15"/>
      <c r="GU64" s="15"/>
      <c r="GV64" s="15"/>
    </row>
    <row r="65" spans="2:204" x14ac:dyDescent="0.2">
      <c r="B65" s="18"/>
      <c r="C65" s="18" t="s">
        <v>115</v>
      </c>
      <c r="D65" s="18"/>
      <c r="E65" s="45"/>
      <c r="F65" s="19"/>
      <c r="G65" s="20" t="e">
        <f t="shared" si="10"/>
        <v>#N/A</v>
      </c>
      <c r="H65" s="20" t="e">
        <f t="shared" si="11"/>
        <v>#N/A</v>
      </c>
      <c r="I65" s="18"/>
      <c r="J65" s="18"/>
      <c r="K65" s="18"/>
      <c r="L65" s="18"/>
      <c r="M65" s="18"/>
      <c r="N65" s="22"/>
      <c r="O65" s="18"/>
      <c r="P65" s="18"/>
      <c r="Q65" s="40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35"/>
      <c r="BB65" s="37"/>
      <c r="BC65" s="17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N65" s="15"/>
      <c r="FO65" s="15"/>
      <c r="FP65" s="15"/>
      <c r="FQ65" s="15"/>
      <c r="FR65" s="15"/>
      <c r="FS65" s="15"/>
      <c r="FT65" s="15"/>
      <c r="FU65" s="15"/>
      <c r="FV65" s="15"/>
      <c r="FW65" s="15"/>
      <c r="FX65" s="15"/>
      <c r="FY65" s="15"/>
      <c r="FZ65" s="15"/>
      <c r="GA65" s="15"/>
      <c r="GB65" s="15"/>
      <c r="GC65" s="15"/>
      <c r="GD65" s="15"/>
      <c r="GE65" s="15"/>
      <c r="GF65" s="15"/>
      <c r="GG65" s="15"/>
      <c r="GH65" s="15"/>
      <c r="GI65" s="15"/>
      <c r="GJ65" s="15"/>
      <c r="GK65" s="15"/>
      <c r="GL65" s="15"/>
      <c r="GM65" s="15"/>
      <c r="GN65" s="15"/>
      <c r="GO65" s="15"/>
      <c r="GP65" s="15"/>
      <c r="GQ65" s="15"/>
      <c r="GR65" s="15"/>
      <c r="GS65" s="15"/>
      <c r="GT65" s="15"/>
      <c r="GU65" s="15"/>
      <c r="GV65" s="15"/>
    </row>
    <row r="66" spans="2:204" x14ac:dyDescent="0.2"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</row>
    <row r="67" spans="2:204" x14ac:dyDescent="0.2"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</row>
    <row r="68" spans="2:204" x14ac:dyDescent="0.2"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</row>
    <row r="69" spans="2:204" x14ac:dyDescent="0.2"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</row>
    <row r="70" spans="2:204" x14ac:dyDescent="0.2"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</row>
  </sheetData>
  <mergeCells count="5">
    <mergeCell ref="S3:AV3"/>
    <mergeCell ref="AW3:BX3"/>
    <mergeCell ref="BY3:DB3"/>
    <mergeCell ref="DC3:EG3"/>
    <mergeCell ref="EH3:FL3"/>
  </mergeCells>
  <phoneticPr fontId="1" type="noConversion"/>
  <conditionalFormatting sqref="N6:N35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{87C9BACB-28EB-4786-AF51-08034CABB64A}</x14:id>
        </ext>
      </extLst>
    </cfRule>
  </conditionalFormatting>
  <conditionalFormatting sqref="R5:GV5">
    <cfRule type="cellIs" dxfId="1" priority="10" operator="equal">
      <formula>"日"</formula>
    </cfRule>
    <cfRule type="cellIs" dxfId="0" priority="11" operator="equal">
      <formula>"六"</formula>
    </cfRule>
  </conditionalFormatting>
  <conditionalFormatting sqref="N36:N47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{47CA336F-2EFF-4456-8FA7-13CAB6C23BF4}</x14:id>
        </ext>
      </extLst>
    </cfRule>
  </conditionalFormatting>
  <conditionalFormatting sqref="N48:N5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{F61CC1BF-69C5-4381-A250-7D1643DE115B}</x14:id>
        </ext>
      </extLst>
    </cfRule>
  </conditionalFormatting>
  <conditionalFormatting sqref="N54:N65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{139B6ED8-42C9-450B-B861-7134216AEE70}</x14:id>
        </ext>
      </extLst>
    </cfRule>
  </conditionalFormatting>
  <conditionalFormatting sqref="E6:E65">
    <cfRule type="dataBar" priority="1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{26515623-0015-49A5-84B6-81C7A286DE93}</x14:id>
        </ext>
      </extLst>
    </cfRule>
  </conditionalFormatting>
  <dataValidations count="1">
    <dataValidation type="list" allowBlank="1" showInputMessage="1" showErrorMessage="1" sqref="O6:O65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2</xdr:col>
                    <xdr:colOff>238125</xdr:colOff>
                    <xdr:row>2</xdr:row>
                    <xdr:rowOff>28575</xdr:rowOff>
                  </from>
                  <to>
                    <xdr:col>2</xdr:col>
                    <xdr:colOff>1228725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C9BACB-28EB-4786-AF51-08034CABB6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N6:N35</xm:sqref>
        </x14:conditionalFormatting>
        <x14:conditionalFormatting xmlns:xm="http://schemas.microsoft.com/office/excel/2006/main">
          <x14:cfRule type="dataBar" id="{47CA336F-2EFF-4456-8FA7-13CAB6C23B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N36:N47</xm:sqref>
        </x14:conditionalFormatting>
        <x14:conditionalFormatting xmlns:xm="http://schemas.microsoft.com/office/excel/2006/main">
          <x14:cfRule type="dataBar" id="{F61CC1BF-69C5-4381-A250-7D1643DE11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N48:N53</xm:sqref>
        </x14:conditionalFormatting>
        <x14:conditionalFormatting xmlns:xm="http://schemas.microsoft.com/office/excel/2006/main">
          <x14:cfRule type="dataBar" id="{139B6ED8-42C9-450B-B861-7134216AEE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N54:N65</xm:sqref>
        </x14:conditionalFormatting>
        <x14:conditionalFormatting xmlns:xm="http://schemas.microsoft.com/office/excel/2006/main">
          <x14:cfRule type="dataBar" id="{26515623-0015-49A5-84B6-81C7A286DE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E6:E65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Data!$B$4:$B$14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I3" sqref="I3:L3"/>
    </sheetView>
  </sheetViews>
  <sheetFormatPr defaultRowHeight="14.25" x14ac:dyDescent="0.2"/>
  <cols>
    <col min="3" max="3" width="10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t="s">
        <v>15</v>
      </c>
      <c r="C3" t="s">
        <v>67</v>
      </c>
      <c r="D3" t="s">
        <v>70</v>
      </c>
      <c r="G3" t="s">
        <v>21</v>
      </c>
      <c r="I3" t="s">
        <v>71</v>
      </c>
      <c r="J3" s="7"/>
      <c r="K3" t="s">
        <v>72</v>
      </c>
      <c r="L3" s="11"/>
    </row>
    <row r="4" spans="1:174" x14ac:dyDescent="0.2">
      <c r="B4" t="s">
        <v>16</v>
      </c>
      <c r="C4" s="1">
        <v>43128</v>
      </c>
      <c r="D4" s="1">
        <v>43134</v>
      </c>
      <c r="G4" t="s">
        <v>22</v>
      </c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</row>
    <row r="5" spans="1:174" x14ac:dyDescent="0.2">
      <c r="B5" t="s">
        <v>17</v>
      </c>
      <c r="C5" s="1">
        <v>43129</v>
      </c>
      <c r="G5" t="s">
        <v>23</v>
      </c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</row>
    <row r="6" spans="1:174" x14ac:dyDescent="0.2">
      <c r="B6" t="s">
        <v>18</v>
      </c>
      <c r="C6" s="1">
        <v>43151</v>
      </c>
      <c r="G6" t="s">
        <v>24</v>
      </c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</row>
    <row r="7" spans="1:174" x14ac:dyDescent="0.2">
      <c r="B7" t="s">
        <v>19</v>
      </c>
      <c r="C7" s="1">
        <f>C2</f>
        <v>43129</v>
      </c>
      <c r="G7" t="s">
        <v>25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</row>
    <row r="8" spans="1:174" x14ac:dyDescent="0.2">
      <c r="G8" s="2" t="s">
        <v>34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</row>
    <row r="9" spans="1:174" x14ac:dyDescent="0.2">
      <c r="G9" s="2" t="s">
        <v>35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</row>
    <row r="10" spans="1:174" x14ac:dyDescent="0.2">
      <c r="G10" t="s">
        <v>36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</row>
    <row r="11" spans="1:174" x14ac:dyDescent="0.2">
      <c r="G11" s="2" t="s">
        <v>37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</row>
    <row r="12" spans="1:174" x14ac:dyDescent="0.2">
      <c r="G12" s="2" t="s">
        <v>38</v>
      </c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</row>
    <row r="13" spans="1:174" x14ac:dyDescent="0.2">
      <c r="G13" s="2" t="s">
        <v>39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</row>
    <row r="14" spans="1:174" x14ac:dyDescent="0.2"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</row>
    <row r="15" spans="1:174" x14ac:dyDescent="0.2"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</row>
    <row r="16" spans="1:174" x14ac:dyDescent="0.2"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</row>
    <row r="17" spans="10:174" x14ac:dyDescent="0.2"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</row>
    <row r="18" spans="10:174" x14ac:dyDescent="0.2"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</row>
    <row r="19" spans="10:174" x14ac:dyDescent="0.2"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</row>
    <row r="20" spans="10:174" x14ac:dyDescent="0.2">
      <c r="J20" s="7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</row>
    <row r="21" spans="10:174" x14ac:dyDescent="0.2"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</row>
    <row r="22" spans="10:174" x14ac:dyDescent="0.2"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</row>
    <row r="23" spans="10:174" x14ac:dyDescent="0.2"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</row>
    <row r="24" spans="10:174" x14ac:dyDescent="0.2"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</row>
    <row r="25" spans="10:174" x14ac:dyDescent="0.2"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</row>
    <row r="26" spans="10:174" x14ac:dyDescent="0.2"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</row>
    <row r="27" spans="10:174" x14ac:dyDescent="0.2"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</row>
    <row r="28" spans="10:174" x14ac:dyDescent="0.2"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</row>
    <row r="29" spans="10:174" x14ac:dyDescent="0.2"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</row>
    <row r="30" spans="10:174" x14ac:dyDescent="0.2"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</row>
    <row r="31" spans="10:174" x14ac:dyDescent="0.2"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</row>
    <row r="32" spans="10:174" x14ac:dyDescent="0.2"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</row>
    <row r="33" spans="18:174" x14ac:dyDescent="0.2"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</row>
    <row r="34" spans="18:174" x14ac:dyDescent="0.2"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</row>
    <row r="35" spans="18:174" x14ac:dyDescent="0.2"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</row>
    <row r="36" spans="18:174" x14ac:dyDescent="0.2"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</row>
    <row r="37" spans="18:174" x14ac:dyDescent="0.2"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</row>
    <row r="38" spans="18:174" x14ac:dyDescent="0.2"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</row>
    <row r="39" spans="18:174" x14ac:dyDescent="0.2"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</row>
    <row r="40" spans="18:174" x14ac:dyDescent="0.2"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</row>
    <row r="41" spans="18:174" x14ac:dyDescent="0.2"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</row>
    <row r="42" spans="18:174" x14ac:dyDescent="0.2"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</row>
    <row r="43" spans="18:174" x14ac:dyDescent="0.2"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</row>
    <row r="44" spans="18:174" x14ac:dyDescent="0.2"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</row>
    <row r="45" spans="18:174" x14ac:dyDescent="0.2"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</row>
    <row r="46" spans="18:174" x14ac:dyDescent="0.2"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</row>
    <row r="47" spans="18:174" x14ac:dyDescent="0.2"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18:174" x14ac:dyDescent="0.2"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</row>
    <row r="49" spans="18:174" x14ac:dyDescent="0.2"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</row>
    <row r="50" spans="18:174" x14ac:dyDescent="0.2"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20"/>
  <sheetViews>
    <sheetView showGridLines="0" topLeftCell="A10" workbookViewId="0">
      <selection activeCell="F22" sqref="F22"/>
    </sheetView>
  </sheetViews>
  <sheetFormatPr defaultRowHeight="14.25" x14ac:dyDescent="0.2"/>
  <cols>
    <col min="1" max="1" width="3.25" customWidth="1"/>
  </cols>
  <sheetData>
    <row r="2" spans="2:14" x14ac:dyDescent="0.2">
      <c r="B2" t="s">
        <v>68</v>
      </c>
    </row>
    <row r="3" spans="2:14" x14ac:dyDescent="0.2">
      <c r="B3" s="3"/>
      <c r="C3" s="5">
        <v>43101</v>
      </c>
      <c r="D3" s="5">
        <v>43132</v>
      </c>
      <c r="E3" s="5">
        <v>43160</v>
      </c>
      <c r="F3" s="5">
        <v>43191</v>
      </c>
      <c r="G3" s="5">
        <v>43221</v>
      </c>
      <c r="H3" s="5">
        <v>43252</v>
      </c>
      <c r="I3" s="5">
        <v>43282</v>
      </c>
      <c r="J3" s="5">
        <v>43313</v>
      </c>
      <c r="K3" s="5">
        <v>43344</v>
      </c>
      <c r="L3" s="5">
        <v>43374</v>
      </c>
      <c r="M3" s="5">
        <v>43405</v>
      </c>
      <c r="N3" s="5">
        <v>43435</v>
      </c>
    </row>
    <row r="4" spans="2:14" x14ac:dyDescent="0.2">
      <c r="B4" s="3" t="s">
        <v>16</v>
      </c>
      <c r="C4" s="4">
        <v>1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x14ac:dyDescent="0.2">
      <c r="B5" s="3" t="s">
        <v>17</v>
      </c>
      <c r="C5" s="4">
        <v>0.2</v>
      </c>
      <c r="D5" s="4"/>
      <c r="E5" s="4">
        <v>0.1</v>
      </c>
      <c r="F5" s="4">
        <v>0.5</v>
      </c>
      <c r="G5" s="4"/>
      <c r="H5" s="4"/>
      <c r="I5" s="4"/>
      <c r="J5" s="4"/>
      <c r="K5" s="4"/>
      <c r="L5" s="4"/>
      <c r="M5" s="4"/>
      <c r="N5" s="4"/>
    </row>
    <row r="6" spans="2:14" x14ac:dyDescent="0.2">
      <c r="B6" s="3" t="s">
        <v>18</v>
      </c>
      <c r="C6" s="4">
        <v>0.45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2:14" x14ac:dyDescent="0.2">
      <c r="B7" s="3" t="s">
        <v>19</v>
      </c>
      <c r="C7" s="4">
        <v>0.9</v>
      </c>
      <c r="D7" s="4"/>
      <c r="E7" s="4"/>
      <c r="F7" s="4"/>
      <c r="G7" s="4"/>
      <c r="H7" s="4"/>
      <c r="I7" s="4"/>
      <c r="J7" s="4">
        <v>1</v>
      </c>
      <c r="K7" s="4">
        <v>1</v>
      </c>
      <c r="L7" s="4">
        <v>1</v>
      </c>
      <c r="M7" s="4">
        <v>1</v>
      </c>
      <c r="N7" s="4">
        <v>1</v>
      </c>
    </row>
    <row r="15" spans="2:14" x14ac:dyDescent="0.2">
      <c r="J15" s="10"/>
    </row>
    <row r="20" spans="10:10" x14ac:dyDescent="0.2">
      <c r="J20" s="10"/>
    </row>
  </sheetData>
  <phoneticPr fontId="1" type="noConversion"/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{D9255864-2356-40DF-B457-4394A312BA61}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255864-2356-40DF-B457-4394A312B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2018-02-06T15:53:21Z</dcterms:modified>
</cp:coreProperties>
</file>