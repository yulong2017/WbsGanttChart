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D2" i="2" s="1"/>
  <c r="C2" i="2"/>
  <c r="FI3" i="1"/>
  <c r="FJ3" i="1" s="1"/>
  <c r="FK3" i="1" s="1"/>
  <c r="FL3" i="1" s="1"/>
  <c r="FM3" i="1" s="1"/>
  <c r="FN3" i="1" s="1"/>
  <c r="FO3" i="1" s="1"/>
  <c r="FP3" i="1" s="1"/>
  <c r="FQ3" i="1" s="1"/>
  <c r="FR3" i="1" s="1"/>
  <c r="ED3" i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Y3" i="1" s="1"/>
  <c r="EZ3" i="1" s="1"/>
  <c r="FA3" i="1" s="1"/>
  <c r="FB3" i="1" s="1"/>
  <c r="FC3" i="1" s="1"/>
  <c r="FD3" i="1" s="1"/>
  <c r="FE3" i="1" s="1"/>
  <c r="FF3" i="1" s="1"/>
  <c r="FG3" i="1" s="1"/>
  <c r="FH3" i="1" s="1"/>
  <c r="DJ3" i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BP3" i="1"/>
  <c r="BQ3" i="1" s="1"/>
  <c r="BR3" i="1" s="1"/>
  <c r="BS3" i="1" s="1"/>
  <c r="BT3" i="1" s="1"/>
  <c r="BU3" i="1" s="1"/>
  <c r="BV3" i="1" s="1"/>
  <c r="BW3" i="1" s="1"/>
  <c r="BX3" i="1" s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BH3" i="1"/>
  <c r="BI3" i="1" s="1"/>
  <c r="BJ3" i="1" s="1"/>
  <c r="BK3" i="1" s="1"/>
  <c r="BL3" i="1" s="1"/>
  <c r="BM3" i="1" s="1"/>
  <c r="BN3" i="1" s="1"/>
  <c r="BO3" i="1" s="1"/>
  <c r="AB3" i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G17" i="1"/>
  <c r="H17" i="1" s="1"/>
  <c r="G18" i="1" s="1"/>
  <c r="H18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H16" i="1"/>
  <c r="H15" i="1"/>
  <c r="S3" i="1" l="1"/>
  <c r="T3" i="1" s="1"/>
  <c r="U3" i="1" s="1"/>
  <c r="V3" i="1" s="1"/>
  <c r="W3" i="1" s="1"/>
  <c r="X3" i="1" s="1"/>
  <c r="Y3" i="1" s="1"/>
  <c r="Z3" i="1" s="1"/>
  <c r="AA3" i="1" s="1"/>
  <c r="R3" i="1"/>
  <c r="G4" i="1" l="1"/>
  <c r="H4" i="1" s="1"/>
  <c r="G5" i="1" s="1"/>
  <c r="H5" i="1" s="1"/>
  <c r="G6" i="1" s="1"/>
  <c r="H6" i="1" s="1"/>
  <c r="G7" i="1" s="1"/>
  <c r="H7" i="1" s="1"/>
  <c r="G12" i="1" s="1"/>
  <c r="H12" i="1" s="1"/>
  <c r="G13" i="1" s="1"/>
  <c r="H13" i="1" s="1"/>
  <c r="G14" i="1" s="1"/>
  <c r="H14" i="1" s="1"/>
  <c r="G8" i="1" l="1"/>
  <c r="H8" i="1" s="1"/>
  <c r="G19" i="1"/>
  <c r="H19" i="1" s="1"/>
  <c r="G20" i="1" s="1"/>
  <c r="H20" i="1" s="1"/>
  <c r="G21" i="1" s="1"/>
  <c r="H21" i="1" s="1"/>
  <c r="G9" i="1" l="1"/>
  <c r="H9" i="1" s="1"/>
  <c r="G10" i="1" s="1"/>
  <c r="H10" i="1" s="1"/>
  <c r="G11" i="1" s="1"/>
  <c r="H11" i="1" s="1"/>
</calcChain>
</file>

<file path=xl/sharedStrings.xml><?xml version="1.0" encoding="utf-8"?>
<sst xmlns="http://schemas.openxmlformats.org/spreadsheetml/2006/main" count="87" uniqueCount="81">
  <si>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</si>
  <si>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</si>
  <si>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</si>
  <si>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</si>
  <si>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</si>
  <si>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</si>
  <si>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</si>
  <si>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</si>
  <si>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</si>
  <si>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甘特图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</si>
  <si>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</si>
  <si>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</si>
  <si>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</si>
  <si>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</si>
  <si>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</si>
  <si>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</si>
  <si>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</si>
  <si>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</si>
  <si>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</si>
  <si>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</si>
  <si>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</si>
  <si>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1 学习VBA</t>
    <phoneticPr fontId="1" type="noConversion"/>
  </si>
  <si>
    <t xml:space="preserve">    2.3 面向对象</t>
    <phoneticPr fontId="1" type="noConversion"/>
  </si>
  <si>
    <t xml:space="preserve">       2.2.3 程序结构</t>
    <phoneticPr fontId="1" type="noConversion"/>
  </si>
  <si>
    <t xml:space="preserve">             2.2.3.1 顺序</t>
    <phoneticPr fontId="1" type="noConversion"/>
  </si>
  <si>
    <t xml:space="preserve">             2.2.3.2 分支</t>
    <phoneticPr fontId="1" type="noConversion"/>
  </si>
  <si>
    <t xml:space="preserve">             2.2.3.3 循环</t>
    <phoneticPr fontId="1" type="noConversion"/>
  </si>
  <si>
    <t xml:space="preserve">             2.3.1 顺序</t>
    <phoneticPr fontId="1" type="noConversion"/>
  </si>
  <si>
    <t xml:space="preserve">             2.3.2 分支</t>
    <phoneticPr fontId="1" type="noConversion"/>
  </si>
  <si>
    <t xml:space="preserve">             2.3.3 循环</t>
    <phoneticPr fontId="1" type="noConversion"/>
  </si>
  <si>
    <t>test</t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</si>
  <si>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</si>
  <si>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</si>
  <si>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</si>
  <si>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</si>
  <si>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</si>
  <si>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>1 学习VBA</t>
  </si>
  <si>
    <t xml:space="preserve">  1.1 熟悉环境</t>
  </si>
  <si>
    <t xml:space="preserve">  1.1 熟悉环境</t>
    <phoneticPr fontId="1" type="noConversion"/>
  </si>
  <si>
    <t xml:space="preserve">    1.1.1 学习基础知识</t>
  </si>
  <si>
    <t xml:space="preserve">    1.1.1 学习基础知识</t>
    <phoneticPr fontId="1" type="noConversion"/>
  </si>
  <si>
    <t xml:space="preserve">      1.1.1.1 基本语法</t>
  </si>
  <si>
    <t xml:space="preserve">      1.1.1.1 基本语法</t>
    <phoneticPr fontId="1" type="noConversion"/>
  </si>
  <si>
    <t xml:space="preserve">      1.1.1.2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</si>
  <si>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</si>
  <si>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</si>
  <si>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</si>
  <si>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</si>
  <si>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</si>
  <si>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</si>
  <si>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2 学习VBA</t>
  </si>
  <si>
    <t>2 学习VBA</t>
    <phoneticPr fontId="1" type="noConversion"/>
  </si>
  <si>
    <t xml:space="preserve">  2.1 熟悉环境</t>
  </si>
  <si>
    <t xml:space="preserve">  2.1 熟悉环境</t>
    <phoneticPr fontId="1" type="noConversion"/>
  </si>
  <si>
    <t xml:space="preserve">    2.1.1 学习基础知识</t>
  </si>
  <si>
    <t xml:space="preserve">    2.1.1 学习基础知识</t>
    <phoneticPr fontId="1" type="noConversion"/>
  </si>
  <si>
    <t xml:space="preserve">      2.1.1.1 基本语法</t>
  </si>
  <si>
    <t xml:space="preserve">      2.1.1.1 基本语法</t>
    <phoneticPr fontId="1" type="noConversion"/>
  </si>
  <si>
    <t xml:space="preserve">      2.1.1.2 数据类型</t>
  </si>
  <si>
    <t xml:space="preserve">      2.1.1.2 数据类型</t>
    <phoneticPr fontId="1" type="noConversion"/>
  </si>
  <si>
    <t xml:space="preserve">        1.1.1.2.1 整型</t>
  </si>
  <si>
    <t xml:space="preserve">        1.1.1.2.1 整型</t>
    <phoneticPr fontId="1" type="noConversion"/>
  </si>
  <si>
    <t xml:space="preserve">        1.1.1.2.2 长整型</t>
  </si>
  <si>
    <t xml:space="preserve">        1.1.1.2.2 长整型</t>
    <phoneticPr fontId="1" type="noConversion"/>
  </si>
  <si>
    <t xml:space="preserve">      1.1.1.3 程序结构</t>
    <phoneticPr fontId="1" type="noConversion"/>
  </si>
  <si>
    <t xml:space="preserve">        1.1.1.3.1 顺序</t>
  </si>
  <si>
    <t xml:space="preserve">        1.1.1.3.1 顺序</t>
    <phoneticPr fontId="1" type="noConversion"/>
  </si>
  <si>
    <t xml:space="preserve">        1.1.1.3.2 分支</t>
  </si>
  <si>
    <t xml:space="preserve">        1.1.1.3.2 分支</t>
    <phoneticPr fontId="1" type="noConversion"/>
  </si>
  <si>
    <t xml:space="preserve">        1.1.1.3.3 循环</t>
    <phoneticPr fontId="1" type="noConversion"/>
  </si>
  <si>
    <t xml:space="preserve">        2.1.1.2.1 整型</t>
  </si>
  <si>
    <t xml:space="preserve">        2.1.1.2.1 整型</t>
    <phoneticPr fontId="1" type="noConversion"/>
  </si>
  <si>
    <t xml:space="preserve">        2.1.1.2.2 长整型</t>
    <phoneticPr fontId="1" type="noConversion"/>
  </si>
  <si>
    <t xml:space="preserve">      2.1.1.3 程序结构</t>
    <phoneticPr fontId="1" type="noConversion"/>
  </si>
  <si>
    <t xml:space="preserve">        2.1.1.3.1 顺序</t>
    <phoneticPr fontId="1" type="noConversion"/>
  </si>
  <si>
    <t xml:space="preserve">        2.1.1.3.2 分支</t>
    <phoneticPr fontId="1" type="noConversion"/>
  </si>
  <si>
    <t xml:space="preserve">        2.1.1.3.3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</si>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</sst>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8" formatCode="yyyy/mm"/>
    <numFmt numFmtId="180" formatCode="0_ 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9" fontId="0" fillId="0" borderId="0" xfId="0" applyNumberFormat="1">
      <alignment vertical="center"/>
    </xf>
    <xf numFmtId="0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R50"/>
  <sheetViews>
    <sheetView tabSelected="1" zoomScaleNormal="100" workbookViewId="0">
      <pane xSplit="17" ySplit="3" topLeftCell="R4" activePane="bottomRight" state="frozenSplit"/>
      <selection pane="topRight" activeCell="R1" sqref="R1"/>
      <selection pane="bottomLeft" activeCell="A4" sqref="A4"/>
      <selection pane="bottomRight" activeCell="C4" sqref="C4"/>
    </sheetView>
  </sheetViews>
  <sheetFormatPr defaultRowHeight="14.25" x14ac:dyDescent="0.2"/>
  <cols>
    <col min="1" max="1" width="3.875" customWidth="1"/>
    <col min="2" max="2" width="4.25" customWidth="1"/>
    <col min="3" max="3" width="20.125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22.125" customWidth="1"/>
    <col min="16" max="17" width="13" bestFit="1" customWidth="1"/>
    <col min="18" max="18" width="9" bestFit="1" customWidth="1"/>
    <col min="19" max="26" width="4.25" bestFit="1" customWidth="1"/>
    <col min="27" max="48" width="5.25" bestFit="1" customWidth="1"/>
    <col min="49" max="57" width="4.25" bestFit="1" customWidth="1"/>
    <col min="58" max="76" width="5.25" bestFit="1" customWidth="1"/>
    <col min="77" max="85" width="4.25" bestFit="1" customWidth="1"/>
    <col min="86" max="107" width="5.25" bestFit="1" customWidth="1"/>
    <col min="108" max="116" width="4.25" bestFit="1" customWidth="1"/>
    <col min="117" max="137" width="5.25" bestFit="1" customWidth="1"/>
    <col min="138" max="146" width="4.25" bestFit="1" customWidth="1"/>
    <col min="147" max="168" width="5.25" bestFit="1" customWidth="1"/>
    <col min="169" max="174" width="4.25" bestFit="1" customWidth="1"/>
  </cols>
  <sheetData>
    <row r="1" spans="2:174" x14ac:dyDescent="0.2">
      <c r="D1" t="s">
        <v>30</v>
      </c>
      <c r="E1">
        <v>5</v>
      </c>
      <c r="J1">
        <v>10</v>
      </c>
      <c r="O1">
        <v>15</v>
      </c>
      <c r="R1" t="s">
        <v>9</v>
      </c>
    </row>
    <row r="2" spans="2:174" x14ac:dyDescent="0.2">
      <c r="L2" s="16"/>
      <c r="R2" s="3">
        <v>43101</v>
      </c>
    </row>
    <row r="3" spans="2:174" x14ac:dyDescent="0.2">
      <c r="B3" s="12" t="s">
        <v>0</v>
      </c>
      <c r="C3" s="12" t="s">
        <v>1</v>
      </c>
      <c r="D3" s="12" t="s">
        <v>2</v>
      </c>
      <c r="E3" s="12" t="s">
        <v>3</v>
      </c>
      <c r="F3" s="12" t="s">
        <v>79</v>
      </c>
      <c r="G3" s="12" t="s">
        <v>10</v>
      </c>
      <c r="H3" s="12" t="s">
        <v>11</v>
      </c>
      <c r="I3" s="12" t="s">
        <v>12</v>
      </c>
      <c r="J3" s="12" t="s">
        <v>13</v>
      </c>
      <c r="K3" s="12" t="s">
        <v>4</v>
      </c>
      <c r="L3" s="12" t="s">
        <v>5</v>
      </c>
      <c r="M3" s="12" t="s">
        <v>6</v>
      </c>
      <c r="N3" s="12" t="s">
        <v>7</v>
      </c>
      <c r="O3" s="12" t="s">
        <v>8</v>
      </c>
      <c r="P3" s="12" t="s">
        <v>14</v>
      </c>
      <c r="Q3" s="12" t="s">
        <v>15</v>
      </c>
      <c r="R3" s="2">
        <f>R2</f>
        <v>43101</v>
      </c>
      <c r="S3" s="2">
        <f>R3+1</f>
        <v>43102</v>
      </c>
      <c r="T3" s="2">
        <f t="shared" ref="T3:AA3" si="0">S3+1</f>
        <v>43103</v>
      </c>
      <c r="U3" s="2">
        <f t="shared" si="0"/>
        <v>43104</v>
      </c>
      <c r="V3" s="2">
        <f t="shared" si="0"/>
        <v>43105</v>
      </c>
      <c r="W3" s="2">
        <f t="shared" si="0"/>
        <v>43106</v>
      </c>
      <c r="X3" s="2">
        <f t="shared" si="0"/>
        <v>43107</v>
      </c>
      <c r="Y3" s="2">
        <f t="shared" si="0"/>
        <v>43108</v>
      </c>
      <c r="Z3" s="2">
        <f t="shared" si="0"/>
        <v>43109</v>
      </c>
      <c r="AA3" s="2">
        <f t="shared" si="0"/>
        <v>43110</v>
      </c>
      <c r="AB3" s="2">
        <f t="shared" ref="AB3" si="1">AA3+1</f>
        <v>43111</v>
      </c>
      <c r="AC3" s="2">
        <f t="shared" ref="AC3" si="2">AB3+1</f>
        <v>43112</v>
      </c>
      <c r="AD3" s="2">
        <f t="shared" ref="AD3" si="3">AC3+1</f>
        <v>43113</v>
      </c>
      <c r="AE3" s="2">
        <f t="shared" ref="AE3" si="4">AD3+1</f>
        <v>43114</v>
      </c>
      <c r="AF3" s="2">
        <f t="shared" ref="AF3" si="5">AE3+1</f>
        <v>43115</v>
      </c>
      <c r="AG3" s="2">
        <f t="shared" ref="AG3" si="6">AF3+1</f>
        <v>43116</v>
      </c>
      <c r="AH3" s="2">
        <f t="shared" ref="AH3" si="7">AG3+1</f>
        <v>43117</v>
      </c>
      <c r="AI3" s="2">
        <f t="shared" ref="AI3" si="8">AH3+1</f>
        <v>43118</v>
      </c>
      <c r="AJ3" s="2">
        <f t="shared" ref="AJ3" si="9">AI3+1</f>
        <v>43119</v>
      </c>
      <c r="AK3" s="2">
        <f t="shared" ref="AK3" si="10">AJ3+1</f>
        <v>43120</v>
      </c>
      <c r="AL3" s="2">
        <f t="shared" ref="AL3" si="11">AK3+1</f>
        <v>43121</v>
      </c>
      <c r="AM3" s="2">
        <f t="shared" ref="AM3" si="12">AL3+1</f>
        <v>43122</v>
      </c>
      <c r="AN3" s="2">
        <f t="shared" ref="AN3" si="13">AM3+1</f>
        <v>43123</v>
      </c>
      <c r="AO3" s="2">
        <f t="shared" ref="AO3" si="14">AN3+1</f>
        <v>43124</v>
      </c>
      <c r="AP3" s="2">
        <f t="shared" ref="AP3" si="15">AO3+1</f>
        <v>43125</v>
      </c>
      <c r="AQ3" s="2">
        <f t="shared" ref="AQ3" si="16">AP3+1</f>
        <v>43126</v>
      </c>
      <c r="AR3" s="2">
        <f t="shared" ref="AR3" si="17">AQ3+1</f>
        <v>43127</v>
      </c>
      <c r="AS3" s="2">
        <f t="shared" ref="AS3" si="18">AR3+1</f>
        <v>43128</v>
      </c>
      <c r="AT3" s="2">
        <f t="shared" ref="AT3" si="19">AS3+1</f>
        <v>43129</v>
      </c>
      <c r="AU3" s="2">
        <f t="shared" ref="AU3" si="20">AT3+1</f>
        <v>43130</v>
      </c>
      <c r="AV3" s="2">
        <f t="shared" ref="AV3" si="21">AU3+1</f>
        <v>43131</v>
      </c>
      <c r="AW3" s="2">
        <f t="shared" ref="AW3" si="22">AV3+1</f>
        <v>43132</v>
      </c>
      <c r="AX3" s="2">
        <f t="shared" ref="AX3" si="23">AW3+1</f>
        <v>43133</v>
      </c>
      <c r="AY3" s="2">
        <f t="shared" ref="AY3" si="24">AX3+1</f>
        <v>43134</v>
      </c>
      <c r="AZ3" s="2">
        <f t="shared" ref="AZ3" si="25">AY3+1</f>
        <v>43135</v>
      </c>
      <c r="BA3" s="2">
        <f t="shared" ref="BA3" si="26">AZ3+1</f>
        <v>43136</v>
      </c>
      <c r="BB3" s="2">
        <f t="shared" ref="BB3" si="27">BA3+1</f>
        <v>43137</v>
      </c>
      <c r="BC3" s="2">
        <f t="shared" ref="BC3" si="28">BB3+1</f>
        <v>43138</v>
      </c>
      <c r="BD3" s="2">
        <f t="shared" ref="BD3" si="29">BC3+1</f>
        <v>43139</v>
      </c>
      <c r="BE3" s="2">
        <f t="shared" ref="BE3" si="30">BD3+1</f>
        <v>43140</v>
      </c>
      <c r="BF3" s="2">
        <f t="shared" ref="BF3" si="31">BE3+1</f>
        <v>43141</v>
      </c>
      <c r="BG3" s="2">
        <f t="shared" ref="BG3" si="32">BF3+1</f>
        <v>43142</v>
      </c>
      <c r="BH3" s="2">
        <f t="shared" ref="BH3" si="33">BG3+1</f>
        <v>43143</v>
      </c>
      <c r="BI3" s="2">
        <f t="shared" ref="BI3" si="34">BH3+1</f>
        <v>43144</v>
      </c>
      <c r="BJ3" s="2">
        <f t="shared" ref="BJ3" si="35">BI3+1</f>
        <v>43145</v>
      </c>
      <c r="BK3" s="2">
        <f t="shared" ref="BK3" si="36">BJ3+1</f>
        <v>43146</v>
      </c>
      <c r="BL3" s="2">
        <f t="shared" ref="BL3" si="37">BK3+1</f>
        <v>43147</v>
      </c>
      <c r="BM3" s="2">
        <f t="shared" ref="BM3" si="38">BL3+1</f>
        <v>43148</v>
      </c>
      <c r="BN3" s="2">
        <f t="shared" ref="BN3" si="39">BM3+1</f>
        <v>43149</v>
      </c>
      <c r="BO3" s="2">
        <f t="shared" ref="BO3" si="40">BN3+1</f>
        <v>43150</v>
      </c>
      <c r="BP3" s="2">
        <f t="shared" ref="BP3" si="41">BO3+1</f>
        <v>43151</v>
      </c>
      <c r="BQ3" s="2">
        <f t="shared" ref="BQ3" si="42">BP3+1</f>
        <v>43152</v>
      </c>
      <c r="BR3" s="2">
        <f t="shared" ref="BR3" si="43">BQ3+1</f>
        <v>43153</v>
      </c>
      <c r="BS3" s="2">
        <f t="shared" ref="BS3" si="44">BR3+1</f>
        <v>43154</v>
      </c>
      <c r="BT3" s="2">
        <f t="shared" ref="BT3" si="45">BS3+1</f>
        <v>43155</v>
      </c>
      <c r="BU3" s="2">
        <f t="shared" ref="BU3" si="46">BT3+1</f>
        <v>43156</v>
      </c>
      <c r="BV3" s="2">
        <f t="shared" ref="BV3" si="47">BU3+1</f>
        <v>43157</v>
      </c>
      <c r="BW3" s="2">
        <f t="shared" ref="BW3" si="48">BV3+1</f>
        <v>43158</v>
      </c>
      <c r="BX3" s="2">
        <f t="shared" ref="BX3" si="49">BW3+1</f>
        <v>43159</v>
      </c>
      <c r="BY3" s="2">
        <f t="shared" ref="BY3" si="50">BX3+1</f>
        <v>43160</v>
      </c>
      <c r="BZ3" s="2">
        <f t="shared" ref="BZ3" si="51">BY3+1</f>
        <v>43161</v>
      </c>
      <c r="CA3" s="2">
        <f t="shared" ref="CA3" si="52">BZ3+1</f>
        <v>43162</v>
      </c>
      <c r="CB3" s="2">
        <f t="shared" ref="CB3" si="53">CA3+1</f>
        <v>43163</v>
      </c>
      <c r="CC3" s="2">
        <f t="shared" ref="CC3" si="54">CB3+1</f>
        <v>43164</v>
      </c>
      <c r="CD3" s="2">
        <f t="shared" ref="CD3" si="55">CC3+1</f>
        <v>43165</v>
      </c>
      <c r="CE3" s="2">
        <f t="shared" ref="CE3" si="56">CD3+1</f>
        <v>43166</v>
      </c>
      <c r="CF3" s="2">
        <f t="shared" ref="CF3" si="57">CE3+1</f>
        <v>43167</v>
      </c>
      <c r="CG3" s="2">
        <f t="shared" ref="CG3" si="58">CF3+1</f>
        <v>43168</v>
      </c>
      <c r="CH3" s="2">
        <f t="shared" ref="CH3" si="59">CG3+1</f>
        <v>43169</v>
      </c>
      <c r="CI3" s="2">
        <f t="shared" ref="CI3" si="60">CH3+1</f>
        <v>43170</v>
      </c>
      <c r="CJ3" s="2">
        <f t="shared" ref="CJ3" si="61">CI3+1</f>
        <v>43171</v>
      </c>
      <c r="CK3" s="2">
        <f t="shared" ref="CK3" si="62">CJ3+1</f>
        <v>43172</v>
      </c>
      <c r="CL3" s="2">
        <f t="shared" ref="CL3" si="63">CK3+1</f>
        <v>43173</v>
      </c>
      <c r="CM3" s="2">
        <f t="shared" ref="CM3" si="64">CL3+1</f>
        <v>43174</v>
      </c>
      <c r="CN3" s="2">
        <f t="shared" ref="CN3" si="65">CM3+1</f>
        <v>43175</v>
      </c>
      <c r="CO3" s="2">
        <f t="shared" ref="CO3" si="66">CN3+1</f>
        <v>43176</v>
      </c>
      <c r="CP3" s="2">
        <f t="shared" ref="CP3" si="67">CO3+1</f>
        <v>43177</v>
      </c>
      <c r="CQ3" s="2">
        <f t="shared" ref="CQ3" si="68">CP3+1</f>
        <v>43178</v>
      </c>
      <c r="CR3" s="2">
        <f t="shared" ref="CR3" si="69">CQ3+1</f>
        <v>43179</v>
      </c>
      <c r="CS3" s="2">
        <f t="shared" ref="CS3" si="70">CR3+1</f>
        <v>43180</v>
      </c>
      <c r="CT3" s="2">
        <f t="shared" ref="CT3" si="71">CS3+1</f>
        <v>43181</v>
      </c>
      <c r="CU3" s="2">
        <f t="shared" ref="CU3" si="72">CT3+1</f>
        <v>43182</v>
      </c>
      <c r="CV3" s="2">
        <f t="shared" ref="CV3" si="73">CU3+1</f>
        <v>43183</v>
      </c>
      <c r="CW3" s="2">
        <f t="shared" ref="CW3" si="74">CV3+1</f>
        <v>43184</v>
      </c>
      <c r="CX3" s="2">
        <f t="shared" ref="CX3" si="75">CW3+1</f>
        <v>43185</v>
      </c>
      <c r="CY3" s="2">
        <f t="shared" ref="CY3" si="76">CX3+1</f>
        <v>43186</v>
      </c>
      <c r="CZ3" s="2">
        <f t="shared" ref="CZ3" si="77">CY3+1</f>
        <v>43187</v>
      </c>
      <c r="DA3" s="2">
        <f t="shared" ref="DA3" si="78">CZ3+1</f>
        <v>43188</v>
      </c>
      <c r="DB3" s="2">
        <f t="shared" ref="DB3" si="79">DA3+1</f>
        <v>43189</v>
      </c>
      <c r="DC3" s="2">
        <f t="shared" ref="DC3" si="80">DB3+1</f>
        <v>43190</v>
      </c>
      <c r="DD3" s="2">
        <f t="shared" ref="DD3" si="81">DC3+1</f>
        <v>43191</v>
      </c>
      <c r="DE3" s="2">
        <f t="shared" ref="DE3" si="82">DD3+1</f>
        <v>43192</v>
      </c>
      <c r="DF3" s="2">
        <f t="shared" ref="DF3" si="83">DE3+1</f>
        <v>43193</v>
      </c>
      <c r="DG3" s="2">
        <f t="shared" ref="DG3" si="84">DF3+1</f>
        <v>43194</v>
      </c>
      <c r="DH3" s="2">
        <f t="shared" ref="DH3" si="85">DG3+1</f>
        <v>43195</v>
      </c>
      <c r="DI3" s="2">
        <f t="shared" ref="DI3" si="86">DH3+1</f>
        <v>43196</v>
      </c>
      <c r="DJ3" s="2">
        <f t="shared" ref="DJ3" si="87">DI3+1</f>
        <v>43197</v>
      </c>
      <c r="DK3" s="2">
        <f t="shared" ref="DK3" si="88">DJ3+1</f>
        <v>43198</v>
      </c>
      <c r="DL3" s="2">
        <f t="shared" ref="DL3" si="89">DK3+1</f>
        <v>43199</v>
      </c>
      <c r="DM3" s="2">
        <f t="shared" ref="DM3" si="90">DL3+1</f>
        <v>43200</v>
      </c>
      <c r="DN3" s="2">
        <f t="shared" ref="DN3" si="91">DM3+1</f>
        <v>43201</v>
      </c>
      <c r="DO3" s="2">
        <f t="shared" ref="DO3" si="92">DN3+1</f>
        <v>43202</v>
      </c>
      <c r="DP3" s="2">
        <f t="shared" ref="DP3" si="93">DO3+1</f>
        <v>43203</v>
      </c>
      <c r="DQ3" s="2">
        <f t="shared" ref="DQ3" si="94">DP3+1</f>
        <v>43204</v>
      </c>
      <c r="DR3" s="2">
        <f t="shared" ref="DR3" si="95">DQ3+1</f>
        <v>43205</v>
      </c>
      <c r="DS3" s="2">
        <f t="shared" ref="DS3" si="96">DR3+1</f>
        <v>43206</v>
      </c>
      <c r="DT3" s="2">
        <f t="shared" ref="DT3" si="97">DS3+1</f>
        <v>43207</v>
      </c>
      <c r="DU3" s="2">
        <f t="shared" ref="DU3" si="98">DT3+1</f>
        <v>43208</v>
      </c>
      <c r="DV3" s="2">
        <f t="shared" ref="DV3" si="99">DU3+1</f>
        <v>43209</v>
      </c>
      <c r="DW3" s="2">
        <f t="shared" ref="DW3" si="100">DV3+1</f>
        <v>43210</v>
      </c>
      <c r="DX3" s="2">
        <f t="shared" ref="DX3" si="101">DW3+1</f>
        <v>43211</v>
      </c>
      <c r="DY3" s="2">
        <f t="shared" ref="DY3" si="102">DX3+1</f>
        <v>43212</v>
      </c>
      <c r="DZ3" s="2">
        <f t="shared" ref="DZ3" si="103">DY3+1</f>
        <v>43213</v>
      </c>
      <c r="EA3" s="2">
        <f t="shared" ref="EA3" si="104">DZ3+1</f>
        <v>43214</v>
      </c>
      <c r="EB3" s="2">
        <f t="shared" ref="EB3" si="105">EA3+1</f>
        <v>43215</v>
      </c>
      <c r="EC3" s="2">
        <f t="shared" ref="EC3" si="106">EB3+1</f>
        <v>43216</v>
      </c>
      <c r="ED3" s="2">
        <f t="shared" ref="ED3" si="107">EC3+1</f>
        <v>43217</v>
      </c>
      <c r="EE3" s="2">
        <f t="shared" ref="EE3" si="108">ED3+1</f>
        <v>43218</v>
      </c>
      <c r="EF3" s="2">
        <f t="shared" ref="EF3" si="109">EE3+1</f>
        <v>43219</v>
      </c>
      <c r="EG3" s="2">
        <f t="shared" ref="EG3" si="110">EF3+1</f>
        <v>43220</v>
      </c>
      <c r="EH3" s="2">
        <f t="shared" ref="EH3" si="111">EG3+1</f>
        <v>43221</v>
      </c>
      <c r="EI3" s="2">
        <f t="shared" ref="EI3" si="112">EH3+1</f>
        <v>43222</v>
      </c>
      <c r="EJ3" s="2">
        <f t="shared" ref="EJ3" si="113">EI3+1</f>
        <v>43223</v>
      </c>
      <c r="EK3" s="2">
        <f t="shared" ref="EK3" si="114">EJ3+1</f>
        <v>43224</v>
      </c>
      <c r="EL3" s="2">
        <f t="shared" ref="EL3" si="115">EK3+1</f>
        <v>43225</v>
      </c>
      <c r="EM3" s="2">
        <f t="shared" ref="EM3" si="116">EL3+1</f>
        <v>43226</v>
      </c>
      <c r="EN3" s="2">
        <f t="shared" ref="EN3" si="117">EM3+1</f>
        <v>43227</v>
      </c>
      <c r="EO3" s="2">
        <f t="shared" ref="EO3" si="118">EN3+1</f>
        <v>43228</v>
      </c>
      <c r="EP3" s="2">
        <f t="shared" ref="EP3" si="119">EO3+1</f>
        <v>43229</v>
      </c>
      <c r="EQ3" s="2">
        <f t="shared" ref="EQ3" si="120">EP3+1</f>
        <v>43230</v>
      </c>
      <c r="ER3" s="2">
        <f t="shared" ref="ER3" si="121">EQ3+1</f>
        <v>43231</v>
      </c>
      <c r="ES3" s="2">
        <f t="shared" ref="ES3" si="122">ER3+1</f>
        <v>43232</v>
      </c>
      <c r="ET3" s="2">
        <f t="shared" ref="ET3" si="123">ES3+1</f>
        <v>43233</v>
      </c>
      <c r="EU3" s="2">
        <f t="shared" ref="EU3" si="124">ET3+1</f>
        <v>43234</v>
      </c>
      <c r="EV3" s="2">
        <f t="shared" ref="EV3" si="125">EU3+1</f>
        <v>43235</v>
      </c>
      <c r="EW3" s="2">
        <f t="shared" ref="EW3" si="126">EV3+1</f>
        <v>43236</v>
      </c>
      <c r="EX3" s="2">
        <f t="shared" ref="EX3" si="127">EW3+1</f>
        <v>43237</v>
      </c>
      <c r="EY3" s="2">
        <f t="shared" ref="EY3" si="128">EX3+1</f>
        <v>43238</v>
      </c>
      <c r="EZ3" s="2">
        <f t="shared" ref="EZ3" si="129">EY3+1</f>
        <v>43239</v>
      </c>
      <c r="FA3" s="2">
        <f t="shared" ref="FA3" si="130">EZ3+1</f>
        <v>43240</v>
      </c>
      <c r="FB3" s="2">
        <f t="shared" ref="FB3" si="131">FA3+1</f>
        <v>43241</v>
      </c>
      <c r="FC3" s="2">
        <f t="shared" ref="FC3" si="132">FB3+1</f>
        <v>43242</v>
      </c>
      <c r="FD3" s="2">
        <f t="shared" ref="FD3" si="133">FC3+1</f>
        <v>43243</v>
      </c>
      <c r="FE3" s="2">
        <f t="shared" ref="FE3" si="134">FD3+1</f>
        <v>43244</v>
      </c>
      <c r="FF3" s="2">
        <f t="shared" ref="FF3" si="135">FE3+1</f>
        <v>43245</v>
      </c>
      <c r="FG3" s="2">
        <f t="shared" ref="FG3" si="136">FF3+1</f>
        <v>43246</v>
      </c>
      <c r="FH3" s="2">
        <f t="shared" ref="FH3" si="137">FG3+1</f>
        <v>43247</v>
      </c>
      <c r="FI3" s="2">
        <f t="shared" ref="FI3" si="138">FH3+1</f>
        <v>43248</v>
      </c>
      <c r="FJ3" s="2">
        <f t="shared" ref="FJ3" si="139">FI3+1</f>
        <v>43249</v>
      </c>
      <c r="FK3" s="2">
        <f t="shared" ref="FK3" si="140">FJ3+1</f>
        <v>43250</v>
      </c>
      <c r="FL3" s="2">
        <f t="shared" ref="FL3" si="141">FK3+1</f>
        <v>43251</v>
      </c>
      <c r="FM3" s="2">
        <f t="shared" ref="FM3" si="142">FL3+1</f>
        <v>43252</v>
      </c>
      <c r="FN3" s="2">
        <f t="shared" ref="FN3" si="143">FM3+1</f>
        <v>43253</v>
      </c>
      <c r="FO3" s="2">
        <f t="shared" ref="FO3" si="144">FN3+1</f>
        <v>43254</v>
      </c>
      <c r="FP3" s="2">
        <f t="shared" ref="FP3" si="145">FO3+1</f>
        <v>43255</v>
      </c>
      <c r="FQ3" s="2">
        <f t="shared" ref="FQ3" si="146">FP3+1</f>
        <v>43256</v>
      </c>
      <c r="FR3" s="2">
        <f t="shared" ref="FR3" si="147">FQ3+1</f>
        <v>43257</v>
      </c>
    </row>
    <row r="4" spans="2:174" x14ac:dyDescent="0.2">
      <c r="C4" t="s">
        <v>21</v>
      </c>
      <c r="D4" s="5"/>
      <c r="E4" s="7">
        <v>1</v>
      </c>
      <c r="F4" s="11">
        <v>1</v>
      </c>
      <c r="G4" s="13">
        <f>IF(F4=0,VLOOKUP(O4,$C$4:$O$34,6,FALSE),VLOOKUP(O4,$C$4:$O$34,6,FALSE)+1)</f>
        <v>43102</v>
      </c>
      <c r="H4" s="13">
        <f>G4+F4</f>
        <v>43103</v>
      </c>
      <c r="I4" s="1"/>
      <c r="J4" s="1"/>
      <c r="N4" s="6">
        <v>0</v>
      </c>
      <c r="O4" t="s">
        <v>50</v>
      </c>
      <c r="P4" s="1">
        <v>43102</v>
      </c>
      <c r="Q4" s="1">
        <v>43103</v>
      </c>
      <c r="R4" s="14"/>
      <c r="S4" s="16"/>
      <c r="T4" s="16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</row>
    <row r="5" spans="2:174" x14ac:dyDescent="0.2">
      <c r="C5" t="s">
        <v>38</v>
      </c>
      <c r="D5" s="4"/>
      <c r="E5" s="7">
        <v>1</v>
      </c>
      <c r="F5" s="11">
        <v>0</v>
      </c>
      <c r="G5" s="13">
        <f>IF(F5=0,VLOOKUP(O5,$C$4:$O$34,6,FALSE),VLOOKUP(O5,$C$4:$O$34,6,FALSE)+1)</f>
        <v>43103</v>
      </c>
      <c r="H5" s="13">
        <f t="shared" ref="H5:H33" si="148">G5+F5</f>
        <v>43103</v>
      </c>
      <c r="I5" s="1"/>
      <c r="J5" s="1"/>
      <c r="N5" s="6">
        <v>0</v>
      </c>
      <c r="O5" t="s">
        <v>36</v>
      </c>
      <c r="P5" s="1">
        <v>43103</v>
      </c>
      <c r="Q5" s="1">
        <v>43103</v>
      </c>
      <c r="R5" s="14"/>
      <c r="S5" s="14"/>
      <c r="T5" s="16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</row>
    <row r="6" spans="2:174" x14ac:dyDescent="0.2">
      <c r="C6" t="s">
        <v>40</v>
      </c>
      <c r="E6" s="7">
        <v>1</v>
      </c>
      <c r="F6" s="11">
        <v>0</v>
      </c>
      <c r="G6" s="13">
        <f>IF(F6=0,VLOOKUP(O6,$C$4:$O$34,6,FALSE),VLOOKUP(O6,$C$4:$O$34,6,FALSE)+1)</f>
        <v>43103</v>
      </c>
      <c r="H6" s="13">
        <f t="shared" si="148"/>
        <v>43103</v>
      </c>
      <c r="I6" s="1"/>
      <c r="J6" s="1"/>
      <c r="N6" s="6">
        <v>0</v>
      </c>
      <c r="O6" t="s">
        <v>37</v>
      </c>
      <c r="P6" s="1">
        <v>43103</v>
      </c>
      <c r="Q6" s="1">
        <v>43103</v>
      </c>
      <c r="R6" s="14"/>
      <c r="S6" s="14"/>
      <c r="T6" s="16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</row>
    <row r="7" spans="2:174" x14ac:dyDescent="0.2">
      <c r="C7" t="s">
        <v>42</v>
      </c>
      <c r="E7" s="7">
        <v>1</v>
      </c>
      <c r="F7" s="11">
        <v>10</v>
      </c>
      <c r="G7" s="13">
        <f>IF(F7=0,VLOOKUP(O7,$C$4:$O$34,6,FALSE),VLOOKUP(O7,$C$4:$O$34,6,FALSE)+1)</f>
        <v>43104</v>
      </c>
      <c r="H7" s="13">
        <f t="shared" si="148"/>
        <v>43114</v>
      </c>
      <c r="I7" s="1"/>
      <c r="J7" s="1"/>
      <c r="N7" s="6">
        <v>1</v>
      </c>
      <c r="O7" t="s">
        <v>39</v>
      </c>
      <c r="P7" s="1">
        <v>43104</v>
      </c>
      <c r="Q7" s="1">
        <v>43114</v>
      </c>
      <c r="R7" s="14"/>
      <c r="S7" s="14"/>
      <c r="T7" s="14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</row>
    <row r="8" spans="2:174" x14ac:dyDescent="0.2">
      <c r="C8" t="s">
        <v>43</v>
      </c>
      <c r="E8" s="7">
        <v>0.5</v>
      </c>
      <c r="F8" s="11">
        <v>0</v>
      </c>
      <c r="G8" s="13">
        <f>IF(F8=0,VLOOKUP(O8,$C$4:$O$34,6,FALSE),VLOOKUP(O8,$C$4:$O$34,6,FALSE)+1)</f>
        <v>43114</v>
      </c>
      <c r="H8" s="13">
        <f t="shared" si="148"/>
        <v>43114</v>
      </c>
      <c r="I8" s="1"/>
      <c r="J8" s="1"/>
      <c r="N8" s="6">
        <v>1</v>
      </c>
      <c r="O8" t="s">
        <v>41</v>
      </c>
      <c r="P8" s="1">
        <v>43114</v>
      </c>
      <c r="Q8" s="1">
        <v>43114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5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</row>
    <row r="9" spans="2:174" x14ac:dyDescent="0.2">
      <c r="C9" s="4" t="s">
        <v>61</v>
      </c>
      <c r="E9" s="7">
        <v>0.5</v>
      </c>
      <c r="F9" s="11">
        <v>5</v>
      </c>
      <c r="G9" s="13">
        <f>IF(F9=0,VLOOKUP(O9,$C$4:$O$34,6,FALSE),VLOOKUP(O9,$C$4:$O$34,6,FALSE)+1)</f>
        <v>43171</v>
      </c>
      <c r="H9" s="13">
        <f t="shared" si="148"/>
        <v>43176</v>
      </c>
      <c r="I9" s="1"/>
      <c r="J9" s="1"/>
      <c r="N9" s="6">
        <v>1</v>
      </c>
      <c r="O9" t="s">
        <v>70</v>
      </c>
      <c r="P9" s="1">
        <v>43124</v>
      </c>
      <c r="Q9" s="1">
        <v>43129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5"/>
      <c r="CK9" s="15"/>
      <c r="CL9" s="15"/>
      <c r="CM9" s="15"/>
      <c r="CN9" s="15"/>
      <c r="CO9" s="15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</row>
    <row r="10" spans="2:174" x14ac:dyDescent="0.2">
      <c r="C10" s="4" t="s">
        <v>63</v>
      </c>
      <c r="E10" s="7">
        <v>1</v>
      </c>
      <c r="F10" s="11">
        <v>6</v>
      </c>
      <c r="G10" s="13">
        <f>IF(F10=0,VLOOKUP(O10,$C$4:$O$34,6,FALSE),VLOOKUP(O10,$C$4:$O$34,6,FALSE)+1)</f>
        <v>43177</v>
      </c>
      <c r="H10" s="13">
        <f t="shared" si="148"/>
        <v>43183</v>
      </c>
      <c r="I10" s="1"/>
      <c r="J10" s="1"/>
      <c r="N10" s="6">
        <v>1</v>
      </c>
      <c r="O10" t="s">
        <v>60</v>
      </c>
      <c r="P10" s="1">
        <v>43130</v>
      </c>
      <c r="Q10" s="1">
        <v>43136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6"/>
      <c r="CQ10" s="16"/>
      <c r="CR10" s="16"/>
      <c r="CS10" s="16"/>
      <c r="CT10" s="16"/>
      <c r="CU10" s="16"/>
      <c r="CV10" s="16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</row>
    <row r="11" spans="2:174" x14ac:dyDescent="0.2">
      <c r="C11" t="s">
        <v>64</v>
      </c>
      <c r="E11" s="7">
        <v>1</v>
      </c>
      <c r="F11" s="11">
        <v>0</v>
      </c>
      <c r="G11" s="13">
        <f>IF(F11=0,VLOOKUP(O11,$C$4:$O$34,6,FALSE),VLOOKUP(O11,$C$4:$O$34,6,FALSE)+1)</f>
        <v>43183</v>
      </c>
      <c r="H11" s="13">
        <f t="shared" si="148"/>
        <v>43183</v>
      </c>
      <c r="I11" s="1"/>
      <c r="J11" s="1"/>
      <c r="N11" s="6"/>
      <c r="O11" t="s">
        <v>62</v>
      </c>
      <c r="P11" s="1">
        <v>43136</v>
      </c>
      <c r="Q11" s="1">
        <v>43136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6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</row>
    <row r="12" spans="2:174" x14ac:dyDescent="0.2">
      <c r="C12" s="4" t="s">
        <v>66</v>
      </c>
      <c r="E12" s="7">
        <v>1</v>
      </c>
      <c r="F12" s="11">
        <v>1</v>
      </c>
      <c r="G12" s="13">
        <f>IF(F12=0,VLOOKUP(O12,$C$4:$O$34,6,FALSE),VLOOKUP(O12,$C$4:$O$34,6,FALSE)+1)</f>
        <v>43115</v>
      </c>
      <c r="H12" s="13">
        <f t="shared" si="148"/>
        <v>43116</v>
      </c>
      <c r="I12" s="1"/>
      <c r="J12" s="1"/>
      <c r="N12" s="6">
        <v>0.12</v>
      </c>
      <c r="O12" t="s">
        <v>41</v>
      </c>
      <c r="P12" s="1">
        <v>43115</v>
      </c>
      <c r="Q12" s="1">
        <v>43116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6"/>
      <c r="AG12" s="16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</row>
    <row r="13" spans="2:174" x14ac:dyDescent="0.2">
      <c r="C13" s="4" t="s">
        <v>68</v>
      </c>
      <c r="E13" s="7">
        <v>1</v>
      </c>
      <c r="F13" s="11">
        <v>2</v>
      </c>
      <c r="G13" s="13">
        <f>IF(F13=0,VLOOKUP(O13,$C$4:$O$34,6,FALSE),VLOOKUP(O13,$C$4:$O$34,6,FALSE)+1)</f>
        <v>43117</v>
      </c>
      <c r="H13" s="13">
        <f t="shared" si="148"/>
        <v>43119</v>
      </c>
      <c r="I13" s="1"/>
      <c r="J13" s="1"/>
      <c r="N13" s="6">
        <v>0.5</v>
      </c>
      <c r="O13" t="s">
        <v>65</v>
      </c>
      <c r="P13" s="1">
        <v>43117</v>
      </c>
      <c r="Q13" s="1">
        <v>43119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6"/>
      <c r="AI13" s="16"/>
      <c r="AJ13" s="16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</row>
    <row r="14" spans="2:174" x14ac:dyDescent="0.2">
      <c r="C14" s="4" t="s">
        <v>69</v>
      </c>
      <c r="E14" s="7">
        <v>1</v>
      </c>
      <c r="F14" s="11">
        <v>3</v>
      </c>
      <c r="G14" s="13">
        <f>IF(F14=0,VLOOKUP(O14,$C$4:$O$34,6,FALSE),VLOOKUP(O14,$C$4:$O$34,6,FALSE)+1)</f>
        <v>43120</v>
      </c>
      <c r="H14" s="13">
        <f t="shared" si="148"/>
        <v>43123</v>
      </c>
      <c r="I14" s="1"/>
      <c r="J14" s="1"/>
      <c r="N14" s="6">
        <v>0.6</v>
      </c>
      <c r="O14" t="s">
        <v>67</v>
      </c>
      <c r="P14" s="1">
        <v>43120</v>
      </c>
      <c r="Q14" s="1">
        <v>43123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6"/>
      <c r="AL14" s="16"/>
      <c r="AM14" s="16"/>
      <c r="AN14" s="16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</row>
    <row r="15" spans="2:174" x14ac:dyDescent="0.2">
      <c r="C15" t="s">
        <v>51</v>
      </c>
      <c r="E15" s="7"/>
      <c r="F15" s="11">
        <v>0</v>
      </c>
      <c r="G15" s="13">
        <v>43101</v>
      </c>
      <c r="H15" s="13">
        <f>G15+F15</f>
        <v>43101</v>
      </c>
      <c r="I15" s="1"/>
      <c r="J15" s="1"/>
      <c r="N15" s="6">
        <v>0.9</v>
      </c>
      <c r="P15" s="1">
        <v>43101</v>
      </c>
      <c r="Q15" s="1">
        <v>43101</v>
      </c>
      <c r="R15" s="15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</row>
    <row r="16" spans="2:174" x14ac:dyDescent="0.2">
      <c r="C16" t="s">
        <v>53</v>
      </c>
      <c r="E16" s="7">
        <v>0.5</v>
      </c>
      <c r="F16" s="11">
        <v>5</v>
      </c>
      <c r="G16" s="13">
        <v>43159</v>
      </c>
      <c r="H16" s="13">
        <f t="shared" si="148"/>
        <v>43164</v>
      </c>
      <c r="I16" s="1"/>
      <c r="J16" s="1"/>
      <c r="N16" s="6">
        <v>0.8</v>
      </c>
      <c r="P16" s="1"/>
      <c r="Q16" s="1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5"/>
      <c r="BY16" s="15"/>
      <c r="BZ16" s="15"/>
      <c r="CA16" s="15"/>
      <c r="CB16" s="15"/>
      <c r="CC16" s="15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</row>
    <row r="17" spans="3:174" x14ac:dyDescent="0.2">
      <c r="C17" t="s">
        <v>55</v>
      </c>
      <c r="E17" s="7">
        <v>0.5</v>
      </c>
      <c r="F17" s="11">
        <v>0</v>
      </c>
      <c r="G17" s="13">
        <f t="shared" ref="G17:G33" si="149">IF(F17=0,VLOOKUP(O17,$C$4:$O$34,6,FALSE),VLOOKUP(O17,$C$4:$O$34,6,FALSE)+1)</f>
        <v>43164</v>
      </c>
      <c r="H17" s="13">
        <f t="shared" si="148"/>
        <v>43164</v>
      </c>
      <c r="I17" s="1"/>
      <c r="J17" s="1"/>
      <c r="N17" s="6">
        <v>0.4</v>
      </c>
      <c r="O17" t="s">
        <v>52</v>
      </c>
      <c r="P17" s="1"/>
      <c r="Q17" s="1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5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</row>
    <row r="18" spans="3:174" x14ac:dyDescent="0.2">
      <c r="C18" t="s">
        <v>57</v>
      </c>
      <c r="E18" s="7">
        <v>1</v>
      </c>
      <c r="F18" s="11">
        <v>0</v>
      </c>
      <c r="G18" s="13">
        <f t="shared" si="149"/>
        <v>43164</v>
      </c>
      <c r="H18" s="13">
        <f t="shared" si="148"/>
        <v>43164</v>
      </c>
      <c r="I18" s="1"/>
      <c r="J18" s="1"/>
      <c r="N18" s="6">
        <v>1</v>
      </c>
      <c r="O18" t="s">
        <v>54</v>
      </c>
      <c r="P18" s="1"/>
      <c r="Q18" s="1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6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</row>
    <row r="19" spans="3:174" x14ac:dyDescent="0.2">
      <c r="C19" t="s">
        <v>59</v>
      </c>
      <c r="E19" s="7">
        <v>0.8</v>
      </c>
      <c r="F19" s="11">
        <v>0</v>
      </c>
      <c r="G19" s="13">
        <f t="shared" si="149"/>
        <v>43164</v>
      </c>
      <c r="H19" s="13">
        <f t="shared" si="148"/>
        <v>43164</v>
      </c>
      <c r="I19" s="1"/>
      <c r="J19" s="1"/>
      <c r="N19" s="6">
        <v>1</v>
      </c>
      <c r="O19" t="s">
        <v>56</v>
      </c>
      <c r="P19" s="1"/>
      <c r="Q19" s="1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5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</row>
    <row r="20" spans="3:174" x14ac:dyDescent="0.2">
      <c r="C20" s="4" t="s">
        <v>71</v>
      </c>
      <c r="E20" s="7">
        <v>1</v>
      </c>
      <c r="F20" s="11">
        <v>5</v>
      </c>
      <c r="G20" s="13">
        <f t="shared" si="149"/>
        <v>43165</v>
      </c>
      <c r="H20" s="13">
        <f t="shared" si="148"/>
        <v>43170</v>
      </c>
      <c r="I20" s="1"/>
      <c r="J20" s="1"/>
      <c r="N20" s="6">
        <v>1</v>
      </c>
      <c r="O20" t="s">
        <v>58</v>
      </c>
      <c r="P20" s="1"/>
      <c r="Q20" s="1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6"/>
      <c r="CE20" s="16"/>
      <c r="CF20" s="16"/>
      <c r="CG20" s="16"/>
      <c r="CH20" s="16"/>
      <c r="CI20" s="16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</row>
    <row r="21" spans="3:174" x14ac:dyDescent="0.2">
      <c r="C21" s="4" t="s">
        <v>72</v>
      </c>
      <c r="E21" s="7"/>
      <c r="F21" s="11"/>
      <c r="G21" s="13">
        <f t="shared" si="149"/>
        <v>43170</v>
      </c>
      <c r="H21" s="13">
        <f t="shared" si="148"/>
        <v>43170</v>
      </c>
      <c r="I21" s="1"/>
      <c r="J21" s="1"/>
      <c r="N21" s="6"/>
      <c r="O21" t="s">
        <v>70</v>
      </c>
      <c r="P21" s="1"/>
      <c r="Q21" s="1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</row>
    <row r="22" spans="3:174" x14ac:dyDescent="0.2">
      <c r="C22" t="s">
        <v>73</v>
      </c>
      <c r="E22" s="7"/>
      <c r="F22" s="11"/>
      <c r="G22" s="13" t="e">
        <f t="shared" si="149"/>
        <v>#N/A</v>
      </c>
      <c r="H22" s="13" t="e">
        <f t="shared" si="148"/>
        <v>#N/A</v>
      </c>
      <c r="I22" s="1"/>
      <c r="J22" s="1"/>
      <c r="N22" s="6"/>
      <c r="P22" s="1"/>
      <c r="Q22" s="1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</row>
    <row r="23" spans="3:174" x14ac:dyDescent="0.2">
      <c r="C23" s="4" t="s">
        <v>74</v>
      </c>
      <c r="E23" s="7"/>
      <c r="F23" s="11"/>
      <c r="G23" s="13" t="e">
        <f t="shared" si="149"/>
        <v>#N/A</v>
      </c>
      <c r="H23" s="13" t="e">
        <f t="shared" si="148"/>
        <v>#N/A</v>
      </c>
      <c r="I23" s="1"/>
      <c r="J23" s="1"/>
      <c r="N23" s="6"/>
      <c r="P23" s="1"/>
      <c r="Q23" s="1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</row>
    <row r="24" spans="3:174" x14ac:dyDescent="0.2">
      <c r="C24" s="4" t="s">
        <v>75</v>
      </c>
      <c r="E24" s="7"/>
      <c r="F24" s="11"/>
      <c r="G24" s="13" t="e">
        <f t="shared" si="149"/>
        <v>#N/A</v>
      </c>
      <c r="H24" s="13" t="e">
        <f t="shared" si="148"/>
        <v>#N/A</v>
      </c>
      <c r="I24" s="1"/>
      <c r="J24" s="1"/>
      <c r="N24" s="6"/>
      <c r="P24" s="1"/>
      <c r="Q24" s="1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</row>
    <row r="25" spans="3:174" x14ac:dyDescent="0.2">
      <c r="C25" s="4" t="s">
        <v>76</v>
      </c>
      <c r="E25" s="7"/>
      <c r="F25" s="11"/>
      <c r="G25" s="13" t="e">
        <f t="shared" si="149"/>
        <v>#N/A</v>
      </c>
      <c r="H25" s="13" t="e">
        <f t="shared" si="148"/>
        <v>#N/A</v>
      </c>
      <c r="I25" s="1"/>
      <c r="J25" s="1"/>
      <c r="N25" s="6"/>
      <c r="P25" s="1"/>
      <c r="Q25" s="1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</row>
    <row r="26" spans="3:174" x14ac:dyDescent="0.2">
      <c r="C26" t="s">
        <v>23</v>
      </c>
      <c r="E26" s="7"/>
      <c r="F26" s="11"/>
      <c r="G26" s="13" t="e">
        <f t="shared" si="149"/>
        <v>#N/A</v>
      </c>
      <c r="H26" s="13" t="e">
        <f t="shared" si="148"/>
        <v>#N/A</v>
      </c>
      <c r="I26" s="1"/>
      <c r="J26" s="1"/>
      <c r="N26" s="6"/>
      <c r="P26" s="1"/>
      <c r="Q26" s="1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</row>
    <row r="27" spans="3:174" x14ac:dyDescent="0.2">
      <c r="C27" t="s">
        <v>24</v>
      </c>
      <c r="E27" s="7"/>
      <c r="F27" s="11"/>
      <c r="G27" s="13" t="e">
        <f t="shared" si="149"/>
        <v>#N/A</v>
      </c>
      <c r="H27" s="13" t="e">
        <f t="shared" si="148"/>
        <v>#N/A</v>
      </c>
      <c r="I27" s="1"/>
      <c r="J27" s="1"/>
      <c r="N27" s="6"/>
      <c r="P27" s="1"/>
      <c r="Q27" s="1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</row>
    <row r="28" spans="3:174" x14ac:dyDescent="0.2">
      <c r="C28" t="s">
        <v>25</v>
      </c>
      <c r="E28" s="7"/>
      <c r="F28" s="11"/>
      <c r="G28" s="13" t="e">
        <f t="shared" si="149"/>
        <v>#N/A</v>
      </c>
      <c r="H28" s="13" t="e">
        <f t="shared" si="148"/>
        <v>#N/A</v>
      </c>
      <c r="I28" s="1"/>
      <c r="J28" s="1"/>
      <c r="N28" s="6"/>
      <c r="P28" s="1"/>
      <c r="Q28" s="1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</row>
    <row r="29" spans="3:174" x14ac:dyDescent="0.2">
      <c r="C29" t="s">
        <v>26</v>
      </c>
      <c r="E29" s="7"/>
      <c r="F29" s="11"/>
      <c r="G29" s="13" t="e">
        <f t="shared" si="149"/>
        <v>#N/A</v>
      </c>
      <c r="H29" s="13" t="e">
        <f t="shared" si="148"/>
        <v>#N/A</v>
      </c>
      <c r="I29" s="1"/>
      <c r="J29" s="1"/>
      <c r="N29" s="6"/>
      <c r="P29" s="1"/>
      <c r="Q29" s="1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</row>
    <row r="30" spans="3:174" x14ac:dyDescent="0.2">
      <c r="C30" t="s">
        <v>22</v>
      </c>
      <c r="E30" s="7"/>
      <c r="F30" s="11"/>
      <c r="G30" s="13" t="e">
        <f t="shared" si="149"/>
        <v>#N/A</v>
      </c>
      <c r="H30" s="13" t="e">
        <f t="shared" si="148"/>
        <v>#N/A</v>
      </c>
      <c r="I30" s="1"/>
      <c r="J30" s="1"/>
      <c r="N30" s="6"/>
      <c r="P30" s="1"/>
      <c r="Q30" s="1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</row>
    <row r="31" spans="3:174" x14ac:dyDescent="0.2">
      <c r="C31" t="s">
        <v>27</v>
      </c>
      <c r="E31" s="7"/>
      <c r="F31" s="11"/>
      <c r="G31" s="13" t="e">
        <f t="shared" si="149"/>
        <v>#N/A</v>
      </c>
      <c r="H31" s="13" t="e">
        <f t="shared" si="148"/>
        <v>#N/A</v>
      </c>
      <c r="I31" s="1"/>
      <c r="J31" s="1"/>
      <c r="N31" s="6"/>
      <c r="P31" s="1"/>
      <c r="Q31" s="1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</row>
    <row r="32" spans="3:174" x14ac:dyDescent="0.2">
      <c r="C32" t="s">
        <v>28</v>
      </c>
      <c r="E32" s="7"/>
      <c r="F32" s="11"/>
      <c r="G32" s="13" t="e">
        <f t="shared" si="149"/>
        <v>#N/A</v>
      </c>
      <c r="H32" s="13" t="e">
        <f t="shared" si="148"/>
        <v>#N/A</v>
      </c>
      <c r="N32" s="6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</row>
    <row r="33" spans="3:174" x14ac:dyDescent="0.2">
      <c r="C33" t="s">
        <v>29</v>
      </c>
      <c r="E33" s="7"/>
      <c r="F33" s="11"/>
      <c r="G33" s="13" t="e">
        <f t="shared" si="149"/>
        <v>#N/A</v>
      </c>
      <c r="H33" s="13" t="e">
        <f t="shared" si="148"/>
        <v>#N/A</v>
      </c>
      <c r="N33" s="6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</row>
    <row r="34" spans="3:174" x14ac:dyDescent="0.2"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</row>
    <row r="35" spans="3:174" x14ac:dyDescent="0.2"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</row>
    <row r="36" spans="3:174" x14ac:dyDescent="0.2"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</row>
    <row r="37" spans="3:174" x14ac:dyDescent="0.2"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</row>
    <row r="38" spans="3:174" x14ac:dyDescent="0.2"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</row>
    <row r="39" spans="3:174" x14ac:dyDescent="0.2"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</row>
    <row r="40" spans="3:174" x14ac:dyDescent="0.2"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</row>
    <row r="41" spans="3:174" x14ac:dyDescent="0.2"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</row>
    <row r="42" spans="3:174" x14ac:dyDescent="0.2"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</row>
    <row r="43" spans="3:174" x14ac:dyDescent="0.2"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</row>
    <row r="44" spans="3:174" x14ac:dyDescent="0.2"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</row>
    <row r="45" spans="3:174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</row>
    <row r="46" spans="3:174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</row>
    <row r="47" spans="3:174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</row>
    <row r="48" spans="3:174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</row>
    <row r="49" spans="18:174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</row>
    <row r="50" spans="18:174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</row>
  </sheetData>
  <phoneticPr fontId="1" type="noConversion"/>
  <conditionalFormatting sqref="N4:N33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4:E33">
    <cfRule type="dataBar" priority="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{DF7DEC3D-64A8-4A54-AE62-63443096F036}</x14:id>
        </ext>
      </extLst>
    </cfRule>
  </conditionalFormatting>
  <dataValidations count="1">
    <dataValidation type="list" allowBlank="1" showInputMessage="1" showErrorMessage="1" sqref="O4:O33">
      <formula1>$C$4:$C$33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N4:N33</xm:sqref>
        </x14:conditionalFormatting>
        <x14:conditionalFormatting xmlns:xm="http://schemas.microsoft.com/office/excel/2006/main">
          <x14:cfRule type="dataBar" id="{DF7DEC3D-64A8-4A54-AE62-63443096F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R50"/>
  <sheetViews>
    <sheetView workbookViewId="0">
      <selection activeCell="C5" sqref="C5"/>
    </sheetView>
  </sheetViews>
  <sheetFormatPr defaultRowHeight="14.25" x14ac:dyDescent="0.2"/>
  <cols>
    <col min="3" max="3" width="10" bestFit="1" customWidth="1"/>
  </cols>
  <sheetData>
    <row r="2" spans="2:174" x14ac:dyDescent="0.2">
      <c r="C2" s="1">
        <f>C5</f>
        <v>43129</v>
      </c>
      <c r="D2">
        <f>COUNTIF(C4:C7,C2)</f>
        <v>2</v>
      </c>
    </row>
    <row r="3" spans="2:174" x14ac:dyDescent="0.2">
      <c r="B3" t="s">
        <v>16</v>
      </c>
      <c r="C3" t="s">
        <v>77</v>
      </c>
      <c r="D3" t="s">
        <v>80</v>
      </c>
      <c r="G3" t="s">
        <v>31</v>
      </c>
    </row>
    <row r="4" spans="2:174" x14ac:dyDescent="0.2">
      <c r="B4" t="s">
        <v>17</v>
      </c>
      <c r="C4" s="1">
        <v>43128</v>
      </c>
      <c r="D4" s="1">
        <v>43134</v>
      </c>
      <c r="G4" t="s">
        <v>32</v>
      </c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</row>
    <row r="5" spans="2:174" x14ac:dyDescent="0.2">
      <c r="B5" t="s">
        <v>18</v>
      </c>
      <c r="C5" s="1">
        <v>43129</v>
      </c>
      <c r="G5" t="s">
        <v>33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</row>
    <row r="6" spans="2:174" x14ac:dyDescent="0.2">
      <c r="B6" t="s">
        <v>19</v>
      </c>
      <c r="C6" s="1">
        <v>43151</v>
      </c>
      <c r="G6" t="s">
        <v>34</v>
      </c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</row>
    <row r="7" spans="2:174" x14ac:dyDescent="0.2">
      <c r="B7" t="s">
        <v>20</v>
      </c>
      <c r="C7" s="1">
        <f>C2</f>
        <v>43129</v>
      </c>
      <c r="G7" t="s">
        <v>35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</row>
    <row r="8" spans="2:174" x14ac:dyDescent="0.2">
      <c r="G8" s="4" t="s">
        <v>44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</row>
    <row r="9" spans="2:174" x14ac:dyDescent="0.2">
      <c r="G9" s="4" t="s">
        <v>45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</row>
    <row r="10" spans="2:174" x14ac:dyDescent="0.2">
      <c r="G10" t="s">
        <v>46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</row>
    <row r="11" spans="2:174" x14ac:dyDescent="0.2">
      <c r="G11" s="4" t="s">
        <v>47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</row>
    <row r="12" spans="2:174" x14ac:dyDescent="0.2">
      <c r="G12" s="4" t="s">
        <v>48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</row>
    <row r="13" spans="2:174" x14ac:dyDescent="0.2">
      <c r="G13" s="4" t="s">
        <v>49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</row>
    <row r="14" spans="2:174" x14ac:dyDescent="0.2"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</row>
    <row r="15" spans="2:174" x14ac:dyDescent="0.2"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</row>
    <row r="16" spans="2:174" x14ac:dyDescent="0.2"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</row>
    <row r="17" spans="18:174" x14ac:dyDescent="0.2"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</row>
    <row r="18" spans="18:174" x14ac:dyDescent="0.2"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</row>
    <row r="19" spans="18:174" x14ac:dyDescent="0.2"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</row>
    <row r="20" spans="18:174" x14ac:dyDescent="0.2"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</row>
    <row r="21" spans="18:174" x14ac:dyDescent="0.2"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</row>
    <row r="22" spans="18:174" x14ac:dyDescent="0.2"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</row>
    <row r="23" spans="18:174" x14ac:dyDescent="0.2"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</row>
    <row r="24" spans="18:174" x14ac:dyDescent="0.2"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</row>
    <row r="25" spans="18:174" x14ac:dyDescent="0.2"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</row>
    <row r="26" spans="18:174" x14ac:dyDescent="0.2"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</row>
    <row r="27" spans="18:174" x14ac:dyDescent="0.2"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</row>
    <row r="28" spans="18:174" x14ac:dyDescent="0.2"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</row>
    <row r="29" spans="18:174" x14ac:dyDescent="0.2"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</row>
    <row r="30" spans="18:174" x14ac:dyDescent="0.2"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</row>
    <row r="31" spans="18:174" x14ac:dyDescent="0.2"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</row>
    <row r="32" spans="18:174" x14ac:dyDescent="0.2"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</row>
    <row r="33" spans="18:174" x14ac:dyDescent="0.2"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</row>
    <row r="34" spans="18:174" x14ac:dyDescent="0.2"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</row>
    <row r="35" spans="18:174" x14ac:dyDescent="0.2"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</row>
    <row r="36" spans="18:174" x14ac:dyDescent="0.2"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</row>
    <row r="37" spans="18:174" x14ac:dyDescent="0.2"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</row>
    <row r="38" spans="18:174" x14ac:dyDescent="0.2"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</row>
    <row r="39" spans="18:174" x14ac:dyDescent="0.2"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</row>
    <row r="40" spans="18:174" x14ac:dyDescent="0.2"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</row>
    <row r="41" spans="18:174" x14ac:dyDescent="0.2"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</row>
    <row r="42" spans="18:174" x14ac:dyDescent="0.2"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</row>
    <row r="43" spans="18:174" x14ac:dyDescent="0.2"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</row>
    <row r="44" spans="18:174" x14ac:dyDescent="0.2"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</row>
    <row r="45" spans="18:174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</row>
    <row r="46" spans="18:174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</row>
    <row r="47" spans="18:174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</row>
    <row r="48" spans="18:174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</row>
    <row r="49" spans="18:174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</row>
    <row r="50" spans="18:174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7"/>
  <sheetViews>
    <sheetView showGridLines="0" workbookViewId="0">
      <selection activeCell="G11" sqref="G11"/>
    </sheetView>
  </sheetViews>
  <sheetFormatPr defaultRowHeight="14.25" x14ac:dyDescent="0.2"/>
  <cols>
    <col min="1" max="1" width="3.25" customWidth="1"/>
  </cols>
  <sheetData>
    <row r="2" spans="2:14" x14ac:dyDescent="0.2">
      <c r="B2" t="s">
        <v>78</v>
      </c>
    </row>
    <row r="3" spans="2:14" x14ac:dyDescent="0.2">
      <c r="B3" s="8"/>
      <c r="C3" s="10">
        <v>43101</v>
      </c>
      <c r="D3" s="10">
        <v>43132</v>
      </c>
      <c r="E3" s="10">
        <v>43160</v>
      </c>
      <c r="F3" s="10">
        <v>43191</v>
      </c>
      <c r="G3" s="10">
        <v>43221</v>
      </c>
      <c r="H3" s="10">
        <v>43252</v>
      </c>
      <c r="I3" s="10">
        <v>43282</v>
      </c>
      <c r="J3" s="10">
        <v>43313</v>
      </c>
      <c r="K3" s="10">
        <v>43344</v>
      </c>
      <c r="L3" s="10">
        <v>43374</v>
      </c>
      <c r="M3" s="10">
        <v>43405</v>
      </c>
      <c r="N3" s="10">
        <v>43435</v>
      </c>
    </row>
    <row r="4" spans="2:14" x14ac:dyDescent="0.2">
      <c r="B4" s="8" t="s">
        <v>17</v>
      </c>
      <c r="C4" s="9">
        <v>1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</row>
    <row r="5" spans="2:14" x14ac:dyDescent="0.2">
      <c r="B5" s="8" t="s">
        <v>18</v>
      </c>
      <c r="C5" s="9">
        <v>0.2</v>
      </c>
      <c r="D5" s="9"/>
      <c r="E5" s="9">
        <v>0.1</v>
      </c>
      <c r="F5" s="9">
        <v>0.5</v>
      </c>
      <c r="G5" s="9"/>
      <c r="H5" s="9"/>
      <c r="I5" s="9"/>
      <c r="J5" s="9"/>
      <c r="K5" s="9"/>
      <c r="L5" s="9"/>
      <c r="M5" s="9"/>
      <c r="N5" s="9"/>
    </row>
    <row r="6" spans="2:14" x14ac:dyDescent="0.2">
      <c r="B6" s="8" t="s">
        <v>19</v>
      </c>
      <c r="C6" s="9">
        <v>0.45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2:14" x14ac:dyDescent="0.2">
      <c r="B7" s="8" t="s">
        <v>20</v>
      </c>
      <c r="C7" s="9">
        <v>0.9</v>
      </c>
      <c r="D7" s="9"/>
      <c r="E7" s="9"/>
      <c r="F7" s="9"/>
      <c r="G7" s="9"/>
      <c r="H7" s="9"/>
      <c r="I7" s="9"/>
      <c r="J7" s="9">
        <v>1</v>
      </c>
      <c r="K7" s="9">
        <v>1</v>
      </c>
      <c r="L7" s="9">
        <v>1</v>
      </c>
      <c r="M7" s="9">
        <v>1</v>
      </c>
      <c r="N7" s="9">
        <v>1</v>
      </c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2018-01-28T14:36:33Z</dcterms:modified>
</cp:coreProperties>
</file>