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" i="1" l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R5" i="1"/>
  <c r="C7" i="2" l="1"/>
  <c r="D2" i="2" s="1"/>
  <c r="C2" i="2"/>
  <c r="G19" i="1"/>
  <c r="H19" i="1" s="1"/>
  <c r="G20" i="1" s="1"/>
  <c r="H20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H18" i="1"/>
  <c r="H17" i="1"/>
  <c r="R4" i="1" l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BC4" i="1" s="1"/>
  <c r="BD4" i="1" s="1"/>
  <c r="BE4" i="1" s="1"/>
  <c r="BF4" i="1" s="1"/>
  <c r="BG4" i="1" s="1"/>
  <c r="BH4" i="1" s="1"/>
  <c r="BI4" i="1" s="1"/>
  <c r="BJ4" i="1" s="1"/>
  <c r="BK4" i="1" s="1"/>
  <c r="BL4" i="1" s="1"/>
  <c r="BM4" i="1" s="1"/>
  <c r="BN4" i="1" s="1"/>
  <c r="BO4" i="1" s="1"/>
  <c r="BP4" i="1" s="1"/>
  <c r="BQ4" i="1" s="1"/>
  <c r="BR4" i="1" s="1"/>
  <c r="BS4" i="1" s="1"/>
  <c r="BT4" i="1" s="1"/>
  <c r="BU4" i="1" s="1"/>
  <c r="BV4" i="1" s="1"/>
  <c r="BW4" i="1" s="1"/>
  <c r="BX4" i="1" s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CJ4" i="1" s="1"/>
  <c r="CK4" i="1" s="1"/>
  <c r="CL4" i="1" s="1"/>
  <c r="CM4" i="1" s="1"/>
  <c r="CN4" i="1" s="1"/>
  <c r="CO4" i="1" s="1"/>
  <c r="CP4" i="1" s="1"/>
  <c r="CQ4" i="1" s="1"/>
  <c r="CR4" i="1" s="1"/>
  <c r="CS4" i="1" s="1"/>
  <c r="CT4" i="1" s="1"/>
  <c r="CU4" i="1" s="1"/>
  <c r="CV4" i="1" s="1"/>
  <c r="CW4" i="1" s="1"/>
  <c r="CX4" i="1" s="1"/>
  <c r="CY4" i="1" s="1"/>
  <c r="CZ4" i="1" s="1"/>
  <c r="DA4" i="1" s="1"/>
  <c r="DB4" i="1" s="1"/>
  <c r="DC4" i="1" s="1"/>
  <c r="DD4" i="1" s="1"/>
  <c r="DE4" i="1" s="1"/>
  <c r="DF4" i="1" s="1"/>
  <c r="DG4" i="1" s="1"/>
  <c r="DH4" i="1" s="1"/>
  <c r="DI4" i="1" s="1"/>
  <c r="DJ4" i="1" s="1"/>
  <c r="DK4" i="1" s="1"/>
  <c r="DL4" i="1" s="1"/>
  <c r="DM4" i="1" s="1"/>
  <c r="DN4" i="1" s="1"/>
  <c r="DO4" i="1" s="1"/>
  <c r="DP4" i="1" s="1"/>
  <c r="DQ4" i="1" s="1"/>
  <c r="DR4" i="1" s="1"/>
  <c r="DS4" i="1" s="1"/>
  <c r="DT4" i="1" s="1"/>
  <c r="DU4" i="1" s="1"/>
  <c r="DV4" i="1" s="1"/>
  <c r="DW4" i="1" s="1"/>
  <c r="DX4" i="1" s="1"/>
  <c r="DY4" i="1" s="1"/>
  <c r="DZ4" i="1" s="1"/>
  <c r="EA4" i="1" s="1"/>
  <c r="EB4" i="1" s="1"/>
  <c r="EC4" i="1" s="1"/>
  <c r="ED4" i="1" s="1"/>
  <c r="EE4" i="1" s="1"/>
  <c r="EF4" i="1" s="1"/>
  <c r="EG4" i="1" s="1"/>
  <c r="EH4" i="1" s="1"/>
  <c r="EI4" i="1" s="1"/>
  <c r="EJ4" i="1" s="1"/>
  <c r="EK4" i="1" s="1"/>
  <c r="EL4" i="1" s="1"/>
  <c r="EM4" i="1" s="1"/>
  <c r="EN4" i="1" s="1"/>
  <c r="EO4" i="1" s="1"/>
  <c r="EP4" i="1" s="1"/>
  <c r="EQ4" i="1" s="1"/>
  <c r="ER4" i="1" s="1"/>
  <c r="ES4" i="1" s="1"/>
  <c r="ET4" i="1" s="1"/>
  <c r="EU4" i="1" s="1"/>
  <c r="EV4" i="1" s="1"/>
  <c r="EW4" i="1" s="1"/>
  <c r="EX4" i="1" s="1"/>
  <c r="EY4" i="1" s="1"/>
  <c r="EZ4" i="1" s="1"/>
  <c r="FA4" i="1" s="1"/>
  <c r="FB4" i="1" s="1"/>
  <c r="FC4" i="1" s="1"/>
  <c r="FD4" i="1" s="1"/>
  <c r="FE4" i="1" s="1"/>
  <c r="FF4" i="1" s="1"/>
  <c r="FG4" i="1" s="1"/>
  <c r="FH4" i="1" s="1"/>
  <c r="FI4" i="1" s="1"/>
  <c r="FJ4" i="1" s="1"/>
  <c r="FK4" i="1" s="1"/>
  <c r="FL4" i="1" s="1"/>
  <c r="FM4" i="1" s="1"/>
  <c r="FN4" i="1" s="1"/>
  <c r="FO4" i="1" s="1"/>
  <c r="FP4" i="1" s="1"/>
  <c r="FQ4" i="1" s="1"/>
  <c r="FR4" i="1" s="1"/>
  <c r="G6" i="1" l="1"/>
  <c r="H6" i="1" s="1"/>
  <c r="G7" i="1" s="1"/>
  <c r="H7" i="1" s="1"/>
  <c r="G8" i="1" s="1"/>
  <c r="H8" i="1" s="1"/>
  <c r="G9" i="1" s="1"/>
  <c r="H9" i="1" s="1"/>
  <c r="G14" i="1" s="1"/>
  <c r="H14" i="1" s="1"/>
  <c r="G15" i="1" s="1"/>
  <c r="H15" i="1" s="1"/>
  <c r="G16" i="1" s="1"/>
  <c r="H16" i="1" s="1"/>
  <c r="G10" i="1" l="1"/>
  <c r="H10" i="1" s="1"/>
  <c r="G21" i="1"/>
  <c r="H21" i="1" s="1"/>
  <c r="G22" i="1" s="1"/>
  <c r="H22" i="1" s="1"/>
  <c r="G23" i="1" s="1"/>
  <c r="H23" i="1" s="1"/>
  <c r="G11" i="1" l="1"/>
  <c r="H11" i="1" s="1"/>
  <c r="G12" i="1" s="1"/>
  <c r="H12" i="1" s="1"/>
  <c r="G13" i="1" s="1"/>
  <c r="H13" i="1" s="1"/>
</calcChain>
</file>

<file path=xl/sharedStrings.xml><?xml version="1.0" encoding="utf-8"?>
<sst xmlns="http://schemas.openxmlformats.org/spreadsheetml/2006/main" count="91" uniqueCount="83">
  <si>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</si>
  <si>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</si>
  <si>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</si>
  <si>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</si>
  <si>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</si>
  <si>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</si>
  <si>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</si>
  <si>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</si>
  <si>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</si>
  <si>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</si>
  <si>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</si>
  <si>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</si>
  <si>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</si>
  <si>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</si>
  <si>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</si>
  <si>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</si>
  <si>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</si>
  <si>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</si>
  <si>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</si>
  <si>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</si>
  <si>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1 学习VBA</t>
    <phoneticPr fontId="1" type="noConversion"/>
  </si>
  <si>
    <t xml:space="preserve">    2.3 面向对象</t>
    <phoneticPr fontId="1" type="noConversion"/>
  </si>
  <si>
    <t xml:space="preserve">       2.2.3 程序结构</t>
    <phoneticPr fontId="1" type="noConversion"/>
  </si>
  <si>
    <t xml:space="preserve">             2.2.3.1 顺序</t>
    <phoneticPr fontId="1" type="noConversion"/>
  </si>
  <si>
    <t xml:space="preserve">             2.2.3.2 分支</t>
    <phoneticPr fontId="1" type="noConversion"/>
  </si>
  <si>
    <t xml:space="preserve">             2.2.3.3 循环</t>
    <phoneticPr fontId="1" type="noConversion"/>
  </si>
  <si>
    <t xml:space="preserve">             2.3.1 顺序</t>
    <phoneticPr fontId="1" type="noConversion"/>
  </si>
  <si>
    <t xml:space="preserve">             2.3.2 分支</t>
    <phoneticPr fontId="1" type="noConversion"/>
  </si>
  <si>
    <t xml:space="preserve">             2.3.3 循环</t>
    <phoneticPr fontId="1" type="noConversion"/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</si>
  <si>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</si>
  <si>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</si>
  <si>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</si>
  <si>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</si>
  <si>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</si>
  <si>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>1 学习VBA</t>
  </si>
  <si>
    <t xml:space="preserve">  1.1 熟悉环境</t>
  </si>
  <si>
    <t xml:space="preserve">  1.1 熟悉环境</t>
    <phoneticPr fontId="1" type="noConversion"/>
  </si>
  <si>
    <t xml:space="preserve">    1.1.1 学习基础知识</t>
  </si>
  <si>
    <t xml:space="preserve">    1.1.1 学习基础知识</t>
    <phoneticPr fontId="1" type="noConversion"/>
  </si>
  <si>
    <t xml:space="preserve">      1.1.1.1 基本语法</t>
  </si>
  <si>
    <t xml:space="preserve">      1.1.1.1 基本语法</t>
    <phoneticPr fontId="1" type="noConversion"/>
  </si>
  <si>
    <t xml:space="preserve">      1.1.1.2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</si>
  <si>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</si>
  <si>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</si>
  <si>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</si>
  <si>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</si>
  <si>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</si>
  <si>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</si>
  <si>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2 学习VBA</t>
  </si>
  <si>
    <t>2 学习VBA</t>
    <phoneticPr fontId="1" type="noConversion"/>
  </si>
  <si>
    <t xml:space="preserve">  2.1 熟悉环境</t>
  </si>
  <si>
    <t xml:space="preserve">  2.1 熟悉环境</t>
    <phoneticPr fontId="1" type="noConversion"/>
  </si>
  <si>
    <t xml:space="preserve">    2.1.1 学习基础知识</t>
  </si>
  <si>
    <t xml:space="preserve">    2.1.1 学习基础知识</t>
    <phoneticPr fontId="1" type="noConversion"/>
  </si>
  <si>
    <t xml:space="preserve">      2.1.1.1 基本语法</t>
  </si>
  <si>
    <t xml:space="preserve">      2.1.1.1 基本语法</t>
    <phoneticPr fontId="1" type="noConversion"/>
  </si>
  <si>
    <t xml:space="preserve">      2.1.1.2 数据类型</t>
  </si>
  <si>
    <t xml:space="preserve">      2.1.1.2 数据类型</t>
    <phoneticPr fontId="1" type="noConversion"/>
  </si>
  <si>
    <t xml:space="preserve">        1.1.1.2.1 整型</t>
  </si>
  <si>
    <t xml:space="preserve">        1.1.1.2.1 整型</t>
    <phoneticPr fontId="1" type="noConversion"/>
  </si>
  <si>
    <t xml:space="preserve">        1.1.1.2.2 长整型</t>
  </si>
  <si>
    <t xml:space="preserve">        1.1.1.2.2 长整型</t>
    <phoneticPr fontId="1" type="noConversion"/>
  </si>
  <si>
    <t xml:space="preserve">      1.1.1.3 程序结构</t>
    <phoneticPr fontId="1" type="noConversion"/>
  </si>
  <si>
    <t xml:space="preserve">        1.1.1.3.1 顺序</t>
  </si>
  <si>
    <t xml:space="preserve">        1.1.1.3.1 顺序</t>
    <phoneticPr fontId="1" type="noConversion"/>
  </si>
  <si>
    <t xml:space="preserve">        1.1.1.3.2 分支</t>
  </si>
  <si>
    <t xml:space="preserve">        1.1.1.3.2 分支</t>
    <phoneticPr fontId="1" type="noConversion"/>
  </si>
  <si>
    <t xml:space="preserve">        1.1.1.3.3 循环</t>
    <phoneticPr fontId="1" type="noConversion"/>
  </si>
  <si>
    <t xml:space="preserve">        2.1.1.2.1 整型</t>
  </si>
  <si>
    <t xml:space="preserve">        2.1.1.2.1 整型</t>
    <phoneticPr fontId="1" type="noConversion"/>
  </si>
  <si>
    <t xml:space="preserve">        2.1.1.2.2 长整型</t>
    <phoneticPr fontId="1" type="noConversion"/>
  </si>
  <si>
    <t xml:space="preserve">      2.1.1.3 程序结构</t>
    <phoneticPr fontId="1" type="noConversion"/>
  </si>
  <si>
    <t xml:space="preserve">        2.1.1.3.1 顺序</t>
    <phoneticPr fontId="1" type="noConversion"/>
  </si>
  <si>
    <t xml:space="preserve">        2.1.1.3.2 分支</t>
    <phoneticPr fontId="1" type="noConversion"/>
  </si>
  <si>
    <t xml:space="preserve">        2.1.1.3.3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</si>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</sst>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/d;@"/>
    <numFmt numFmtId="177" formatCode="yyyy/mm"/>
    <numFmt numFmtId="178" formatCode="0_ "/>
    <numFmt numFmtId="180" formatCode="d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66F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14" fontId="0" fillId="0" borderId="2" xfId="0" applyNumberFormat="1" applyBorder="1" applyAlignment="1">
      <alignment vertical="center"/>
    </xf>
    <xf numFmtId="17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80" fontId="0" fillId="0" borderId="3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2"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66FF"/>
      <color rgb="FF0000FF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742950</xdr:colOff>
          <xdr:row>2</xdr:row>
          <xdr:rowOff>19050</xdr:rowOff>
        </xdr:from>
        <xdr:to>
          <xdr:col>14</xdr:col>
          <xdr:colOff>57150</xdr:colOff>
          <xdr:row>3</xdr:row>
          <xdr:rowOff>114300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3770551-3B8F-4049-9B2B-F140F6759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R52"/>
  <sheetViews>
    <sheetView showGridLines="0" tabSelected="1" zoomScaleNormal="100" workbookViewId="0">
      <selection activeCell="L14" sqref="L14"/>
    </sheetView>
  </sheetViews>
  <sheetFormatPr defaultRowHeight="14.25" x14ac:dyDescent="0.2"/>
  <cols>
    <col min="1" max="1" width="3.875" customWidth="1"/>
    <col min="2" max="2" width="4.25" customWidth="1"/>
    <col min="3" max="3" width="20.125" customWidth="1"/>
    <col min="4" max="4" width="5.25" bestFit="1" customWidth="1"/>
    <col min="5" max="5" width="11" bestFit="1" customWidth="1"/>
    <col min="6" max="6" width="5.25" bestFit="1" customWidth="1"/>
    <col min="7" max="10" width="13" bestFit="1" customWidth="1"/>
    <col min="11" max="11" width="11" bestFit="1" customWidth="1"/>
    <col min="13" max="13" width="13" bestFit="1" customWidth="1"/>
    <col min="15" max="15" width="22.125" customWidth="1"/>
    <col min="16" max="17" width="13" bestFit="1" customWidth="1"/>
    <col min="18" max="174" width="3.75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174" x14ac:dyDescent="0.2">
      <c r="C2" s="26" t="s">
        <v>81</v>
      </c>
      <c r="D2" s="17"/>
      <c r="E2" s="26" t="s">
        <v>79</v>
      </c>
      <c r="F2" s="20"/>
      <c r="G2" s="26" t="s">
        <v>80</v>
      </c>
      <c r="H2" s="25"/>
      <c r="I2" s="26" t="s">
        <v>82</v>
      </c>
      <c r="J2" s="21"/>
    </row>
    <row r="3" spans="1:174" x14ac:dyDescent="0.2">
      <c r="R3" s="14">
        <v>43101</v>
      </c>
      <c r="S3" s="15">
        <v>43101</v>
      </c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>
        <v>43132</v>
      </c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>
        <v>43160</v>
      </c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>
        <v>43191</v>
      </c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>
        <v>43221</v>
      </c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6"/>
      <c r="FN3" s="16"/>
      <c r="FO3" s="16"/>
      <c r="FP3" s="16"/>
      <c r="FQ3" s="16"/>
      <c r="FR3" s="16"/>
    </row>
    <row r="4" spans="1:174" x14ac:dyDescent="0.2">
      <c r="R4" s="23">
        <f>R3</f>
        <v>43101</v>
      </c>
      <c r="S4" s="23">
        <f>R4+1</f>
        <v>43102</v>
      </c>
      <c r="T4" s="23">
        <f t="shared" ref="T4:AA4" si="0">S4+1</f>
        <v>43103</v>
      </c>
      <c r="U4" s="23">
        <f t="shared" si="0"/>
        <v>43104</v>
      </c>
      <c r="V4" s="23">
        <f t="shared" si="0"/>
        <v>43105</v>
      </c>
      <c r="W4" s="23">
        <f t="shared" si="0"/>
        <v>43106</v>
      </c>
      <c r="X4" s="23">
        <f t="shared" si="0"/>
        <v>43107</v>
      </c>
      <c r="Y4" s="23">
        <f t="shared" si="0"/>
        <v>43108</v>
      </c>
      <c r="Z4" s="23">
        <f t="shared" si="0"/>
        <v>43109</v>
      </c>
      <c r="AA4" s="23">
        <f t="shared" si="0"/>
        <v>43110</v>
      </c>
      <c r="AB4" s="23">
        <f t="shared" ref="AB4" si="1">AA4+1</f>
        <v>43111</v>
      </c>
      <c r="AC4" s="23">
        <f t="shared" ref="AC4" si="2">AB4+1</f>
        <v>43112</v>
      </c>
      <c r="AD4" s="23">
        <f t="shared" ref="AD4" si="3">AC4+1</f>
        <v>43113</v>
      </c>
      <c r="AE4" s="23">
        <f t="shared" ref="AE4" si="4">AD4+1</f>
        <v>43114</v>
      </c>
      <c r="AF4" s="23">
        <f t="shared" ref="AF4" si="5">AE4+1</f>
        <v>43115</v>
      </c>
      <c r="AG4" s="23">
        <f t="shared" ref="AG4" si="6">AF4+1</f>
        <v>43116</v>
      </c>
      <c r="AH4" s="23">
        <f t="shared" ref="AH4" si="7">AG4+1</f>
        <v>43117</v>
      </c>
      <c r="AI4" s="23">
        <f t="shared" ref="AI4" si="8">AH4+1</f>
        <v>43118</v>
      </c>
      <c r="AJ4" s="23">
        <f t="shared" ref="AJ4" si="9">AI4+1</f>
        <v>43119</v>
      </c>
      <c r="AK4" s="23">
        <f t="shared" ref="AK4" si="10">AJ4+1</f>
        <v>43120</v>
      </c>
      <c r="AL4" s="23">
        <f t="shared" ref="AL4" si="11">AK4+1</f>
        <v>43121</v>
      </c>
      <c r="AM4" s="23">
        <f t="shared" ref="AM4" si="12">AL4+1</f>
        <v>43122</v>
      </c>
      <c r="AN4" s="23">
        <f t="shared" ref="AN4" si="13">AM4+1</f>
        <v>43123</v>
      </c>
      <c r="AO4" s="23">
        <f t="shared" ref="AO4" si="14">AN4+1</f>
        <v>43124</v>
      </c>
      <c r="AP4" s="23">
        <f t="shared" ref="AP4" si="15">AO4+1</f>
        <v>43125</v>
      </c>
      <c r="AQ4" s="23">
        <f t="shared" ref="AQ4" si="16">AP4+1</f>
        <v>43126</v>
      </c>
      <c r="AR4" s="23">
        <f t="shared" ref="AR4" si="17">AQ4+1</f>
        <v>43127</v>
      </c>
      <c r="AS4" s="23">
        <f t="shared" ref="AS4" si="18">AR4+1</f>
        <v>43128</v>
      </c>
      <c r="AT4" s="23">
        <f t="shared" ref="AT4" si="19">AS4+1</f>
        <v>43129</v>
      </c>
      <c r="AU4" s="23">
        <f t="shared" ref="AU4" si="20">AT4+1</f>
        <v>43130</v>
      </c>
      <c r="AV4" s="23">
        <f t="shared" ref="AV4" si="21">AU4+1</f>
        <v>43131</v>
      </c>
      <c r="AW4" s="23">
        <f t="shared" ref="AW4" si="22">AV4+1</f>
        <v>43132</v>
      </c>
      <c r="AX4" s="23">
        <f t="shared" ref="AX4" si="23">AW4+1</f>
        <v>43133</v>
      </c>
      <c r="AY4" s="23">
        <f t="shared" ref="AY4" si="24">AX4+1</f>
        <v>43134</v>
      </c>
      <c r="AZ4" s="23">
        <f t="shared" ref="AZ4" si="25">AY4+1</f>
        <v>43135</v>
      </c>
      <c r="BA4" s="23">
        <f t="shared" ref="BA4" si="26">AZ4+1</f>
        <v>43136</v>
      </c>
      <c r="BB4" s="23">
        <f t="shared" ref="BB4" si="27">BA4+1</f>
        <v>43137</v>
      </c>
      <c r="BC4" s="23">
        <f t="shared" ref="BC4" si="28">BB4+1</f>
        <v>43138</v>
      </c>
      <c r="BD4" s="23">
        <f t="shared" ref="BD4" si="29">BC4+1</f>
        <v>43139</v>
      </c>
      <c r="BE4" s="23">
        <f t="shared" ref="BE4" si="30">BD4+1</f>
        <v>43140</v>
      </c>
      <c r="BF4" s="23">
        <f t="shared" ref="BF4" si="31">BE4+1</f>
        <v>43141</v>
      </c>
      <c r="BG4" s="23">
        <f t="shared" ref="BG4" si="32">BF4+1</f>
        <v>43142</v>
      </c>
      <c r="BH4" s="23">
        <f t="shared" ref="BH4" si="33">BG4+1</f>
        <v>43143</v>
      </c>
      <c r="BI4" s="23">
        <f t="shared" ref="BI4" si="34">BH4+1</f>
        <v>43144</v>
      </c>
      <c r="BJ4" s="23">
        <f t="shared" ref="BJ4" si="35">BI4+1</f>
        <v>43145</v>
      </c>
      <c r="BK4" s="23">
        <f t="shared" ref="BK4" si="36">BJ4+1</f>
        <v>43146</v>
      </c>
      <c r="BL4" s="23">
        <f t="shared" ref="BL4" si="37">BK4+1</f>
        <v>43147</v>
      </c>
      <c r="BM4" s="23">
        <f t="shared" ref="BM4" si="38">BL4+1</f>
        <v>43148</v>
      </c>
      <c r="BN4" s="23">
        <f t="shared" ref="BN4" si="39">BM4+1</f>
        <v>43149</v>
      </c>
      <c r="BO4" s="23">
        <f t="shared" ref="BO4" si="40">BN4+1</f>
        <v>43150</v>
      </c>
      <c r="BP4" s="23">
        <f t="shared" ref="BP4" si="41">BO4+1</f>
        <v>43151</v>
      </c>
      <c r="BQ4" s="23">
        <f t="shared" ref="BQ4" si="42">BP4+1</f>
        <v>43152</v>
      </c>
      <c r="BR4" s="23">
        <f t="shared" ref="BR4" si="43">BQ4+1</f>
        <v>43153</v>
      </c>
      <c r="BS4" s="23">
        <f t="shared" ref="BS4" si="44">BR4+1</f>
        <v>43154</v>
      </c>
      <c r="BT4" s="23">
        <f t="shared" ref="BT4" si="45">BS4+1</f>
        <v>43155</v>
      </c>
      <c r="BU4" s="23">
        <f t="shared" ref="BU4" si="46">BT4+1</f>
        <v>43156</v>
      </c>
      <c r="BV4" s="23">
        <f t="shared" ref="BV4" si="47">BU4+1</f>
        <v>43157</v>
      </c>
      <c r="BW4" s="23">
        <f t="shared" ref="BW4" si="48">BV4+1</f>
        <v>43158</v>
      </c>
      <c r="BX4" s="23">
        <f t="shared" ref="BX4" si="49">BW4+1</f>
        <v>43159</v>
      </c>
      <c r="BY4" s="23">
        <f t="shared" ref="BY4" si="50">BX4+1</f>
        <v>43160</v>
      </c>
      <c r="BZ4" s="23">
        <f t="shared" ref="BZ4" si="51">BY4+1</f>
        <v>43161</v>
      </c>
      <c r="CA4" s="23">
        <f t="shared" ref="CA4" si="52">BZ4+1</f>
        <v>43162</v>
      </c>
      <c r="CB4" s="23">
        <f t="shared" ref="CB4" si="53">CA4+1</f>
        <v>43163</v>
      </c>
      <c r="CC4" s="23">
        <f t="shared" ref="CC4" si="54">CB4+1</f>
        <v>43164</v>
      </c>
      <c r="CD4" s="23">
        <f t="shared" ref="CD4" si="55">CC4+1</f>
        <v>43165</v>
      </c>
      <c r="CE4" s="23">
        <f t="shared" ref="CE4" si="56">CD4+1</f>
        <v>43166</v>
      </c>
      <c r="CF4" s="23">
        <f t="shared" ref="CF4" si="57">CE4+1</f>
        <v>43167</v>
      </c>
      <c r="CG4" s="23">
        <f t="shared" ref="CG4" si="58">CF4+1</f>
        <v>43168</v>
      </c>
      <c r="CH4" s="23">
        <f t="shared" ref="CH4" si="59">CG4+1</f>
        <v>43169</v>
      </c>
      <c r="CI4" s="23">
        <f t="shared" ref="CI4" si="60">CH4+1</f>
        <v>43170</v>
      </c>
      <c r="CJ4" s="23">
        <f t="shared" ref="CJ4" si="61">CI4+1</f>
        <v>43171</v>
      </c>
      <c r="CK4" s="23">
        <f t="shared" ref="CK4" si="62">CJ4+1</f>
        <v>43172</v>
      </c>
      <c r="CL4" s="23">
        <f t="shared" ref="CL4" si="63">CK4+1</f>
        <v>43173</v>
      </c>
      <c r="CM4" s="23">
        <f t="shared" ref="CM4" si="64">CL4+1</f>
        <v>43174</v>
      </c>
      <c r="CN4" s="23">
        <f t="shared" ref="CN4" si="65">CM4+1</f>
        <v>43175</v>
      </c>
      <c r="CO4" s="23">
        <f t="shared" ref="CO4" si="66">CN4+1</f>
        <v>43176</v>
      </c>
      <c r="CP4" s="23">
        <f t="shared" ref="CP4" si="67">CO4+1</f>
        <v>43177</v>
      </c>
      <c r="CQ4" s="23">
        <f t="shared" ref="CQ4" si="68">CP4+1</f>
        <v>43178</v>
      </c>
      <c r="CR4" s="23">
        <f t="shared" ref="CR4" si="69">CQ4+1</f>
        <v>43179</v>
      </c>
      <c r="CS4" s="23">
        <f t="shared" ref="CS4" si="70">CR4+1</f>
        <v>43180</v>
      </c>
      <c r="CT4" s="23">
        <f t="shared" ref="CT4" si="71">CS4+1</f>
        <v>43181</v>
      </c>
      <c r="CU4" s="23">
        <f t="shared" ref="CU4" si="72">CT4+1</f>
        <v>43182</v>
      </c>
      <c r="CV4" s="23">
        <f t="shared" ref="CV4" si="73">CU4+1</f>
        <v>43183</v>
      </c>
      <c r="CW4" s="23">
        <f t="shared" ref="CW4" si="74">CV4+1</f>
        <v>43184</v>
      </c>
      <c r="CX4" s="23">
        <f t="shared" ref="CX4" si="75">CW4+1</f>
        <v>43185</v>
      </c>
      <c r="CY4" s="23">
        <f t="shared" ref="CY4" si="76">CX4+1</f>
        <v>43186</v>
      </c>
      <c r="CZ4" s="23">
        <f t="shared" ref="CZ4" si="77">CY4+1</f>
        <v>43187</v>
      </c>
      <c r="DA4" s="23">
        <f t="shared" ref="DA4" si="78">CZ4+1</f>
        <v>43188</v>
      </c>
      <c r="DB4" s="23">
        <f t="shared" ref="DB4" si="79">DA4+1</f>
        <v>43189</v>
      </c>
      <c r="DC4" s="23">
        <f t="shared" ref="DC4" si="80">DB4+1</f>
        <v>43190</v>
      </c>
      <c r="DD4" s="23">
        <f t="shared" ref="DD4" si="81">DC4+1</f>
        <v>43191</v>
      </c>
      <c r="DE4" s="23">
        <f t="shared" ref="DE4" si="82">DD4+1</f>
        <v>43192</v>
      </c>
      <c r="DF4" s="23">
        <f t="shared" ref="DF4" si="83">DE4+1</f>
        <v>43193</v>
      </c>
      <c r="DG4" s="23">
        <f t="shared" ref="DG4" si="84">DF4+1</f>
        <v>43194</v>
      </c>
      <c r="DH4" s="23">
        <f t="shared" ref="DH4" si="85">DG4+1</f>
        <v>43195</v>
      </c>
      <c r="DI4" s="23">
        <f t="shared" ref="DI4" si="86">DH4+1</f>
        <v>43196</v>
      </c>
      <c r="DJ4" s="23">
        <f t="shared" ref="DJ4" si="87">DI4+1</f>
        <v>43197</v>
      </c>
      <c r="DK4" s="23">
        <f t="shared" ref="DK4" si="88">DJ4+1</f>
        <v>43198</v>
      </c>
      <c r="DL4" s="23">
        <f t="shared" ref="DL4" si="89">DK4+1</f>
        <v>43199</v>
      </c>
      <c r="DM4" s="23">
        <f t="shared" ref="DM4" si="90">DL4+1</f>
        <v>43200</v>
      </c>
      <c r="DN4" s="23">
        <f t="shared" ref="DN4" si="91">DM4+1</f>
        <v>43201</v>
      </c>
      <c r="DO4" s="23">
        <f t="shared" ref="DO4" si="92">DN4+1</f>
        <v>43202</v>
      </c>
      <c r="DP4" s="23">
        <f t="shared" ref="DP4" si="93">DO4+1</f>
        <v>43203</v>
      </c>
      <c r="DQ4" s="23">
        <f t="shared" ref="DQ4" si="94">DP4+1</f>
        <v>43204</v>
      </c>
      <c r="DR4" s="23">
        <f t="shared" ref="DR4" si="95">DQ4+1</f>
        <v>43205</v>
      </c>
      <c r="DS4" s="23">
        <f t="shared" ref="DS4" si="96">DR4+1</f>
        <v>43206</v>
      </c>
      <c r="DT4" s="23">
        <f t="shared" ref="DT4" si="97">DS4+1</f>
        <v>43207</v>
      </c>
      <c r="DU4" s="23">
        <f t="shared" ref="DU4" si="98">DT4+1</f>
        <v>43208</v>
      </c>
      <c r="DV4" s="23">
        <f t="shared" ref="DV4" si="99">DU4+1</f>
        <v>43209</v>
      </c>
      <c r="DW4" s="23">
        <f t="shared" ref="DW4" si="100">DV4+1</f>
        <v>43210</v>
      </c>
      <c r="DX4" s="23">
        <f t="shared" ref="DX4" si="101">DW4+1</f>
        <v>43211</v>
      </c>
      <c r="DY4" s="23">
        <f t="shared" ref="DY4" si="102">DX4+1</f>
        <v>43212</v>
      </c>
      <c r="DZ4" s="23">
        <f t="shared" ref="DZ4" si="103">DY4+1</f>
        <v>43213</v>
      </c>
      <c r="EA4" s="23">
        <f t="shared" ref="EA4" si="104">DZ4+1</f>
        <v>43214</v>
      </c>
      <c r="EB4" s="23">
        <f t="shared" ref="EB4" si="105">EA4+1</f>
        <v>43215</v>
      </c>
      <c r="EC4" s="23">
        <f t="shared" ref="EC4" si="106">EB4+1</f>
        <v>43216</v>
      </c>
      <c r="ED4" s="23">
        <f t="shared" ref="ED4" si="107">EC4+1</f>
        <v>43217</v>
      </c>
      <c r="EE4" s="23">
        <f t="shared" ref="EE4" si="108">ED4+1</f>
        <v>43218</v>
      </c>
      <c r="EF4" s="23">
        <f t="shared" ref="EF4" si="109">EE4+1</f>
        <v>43219</v>
      </c>
      <c r="EG4" s="23">
        <f t="shared" ref="EG4" si="110">EF4+1</f>
        <v>43220</v>
      </c>
      <c r="EH4" s="23">
        <f t="shared" ref="EH4" si="111">EG4+1</f>
        <v>43221</v>
      </c>
      <c r="EI4" s="23">
        <f t="shared" ref="EI4" si="112">EH4+1</f>
        <v>43222</v>
      </c>
      <c r="EJ4" s="23">
        <f t="shared" ref="EJ4" si="113">EI4+1</f>
        <v>43223</v>
      </c>
      <c r="EK4" s="23">
        <f t="shared" ref="EK4" si="114">EJ4+1</f>
        <v>43224</v>
      </c>
      <c r="EL4" s="23">
        <f t="shared" ref="EL4" si="115">EK4+1</f>
        <v>43225</v>
      </c>
      <c r="EM4" s="23">
        <f t="shared" ref="EM4" si="116">EL4+1</f>
        <v>43226</v>
      </c>
      <c r="EN4" s="23">
        <f t="shared" ref="EN4" si="117">EM4+1</f>
        <v>43227</v>
      </c>
      <c r="EO4" s="23">
        <f t="shared" ref="EO4" si="118">EN4+1</f>
        <v>43228</v>
      </c>
      <c r="EP4" s="23">
        <f t="shared" ref="EP4" si="119">EO4+1</f>
        <v>43229</v>
      </c>
      <c r="EQ4" s="23">
        <f t="shared" ref="EQ4" si="120">EP4+1</f>
        <v>43230</v>
      </c>
      <c r="ER4" s="23">
        <f t="shared" ref="ER4" si="121">EQ4+1</f>
        <v>43231</v>
      </c>
      <c r="ES4" s="23">
        <f t="shared" ref="ES4" si="122">ER4+1</f>
        <v>43232</v>
      </c>
      <c r="ET4" s="23">
        <f t="shared" ref="ET4" si="123">ES4+1</f>
        <v>43233</v>
      </c>
      <c r="EU4" s="23">
        <f t="shared" ref="EU4" si="124">ET4+1</f>
        <v>43234</v>
      </c>
      <c r="EV4" s="23">
        <f t="shared" ref="EV4" si="125">EU4+1</f>
        <v>43235</v>
      </c>
      <c r="EW4" s="23">
        <f t="shared" ref="EW4" si="126">EV4+1</f>
        <v>43236</v>
      </c>
      <c r="EX4" s="23">
        <f t="shared" ref="EX4" si="127">EW4+1</f>
        <v>43237</v>
      </c>
      <c r="EY4" s="23">
        <f t="shared" ref="EY4" si="128">EX4+1</f>
        <v>43238</v>
      </c>
      <c r="EZ4" s="23">
        <f t="shared" ref="EZ4" si="129">EY4+1</f>
        <v>43239</v>
      </c>
      <c r="FA4" s="23">
        <f t="shared" ref="FA4" si="130">EZ4+1</f>
        <v>43240</v>
      </c>
      <c r="FB4" s="23">
        <f t="shared" ref="FB4" si="131">FA4+1</f>
        <v>43241</v>
      </c>
      <c r="FC4" s="23">
        <f t="shared" ref="FC4" si="132">FB4+1</f>
        <v>43242</v>
      </c>
      <c r="FD4" s="23">
        <f t="shared" ref="FD4" si="133">FC4+1</f>
        <v>43243</v>
      </c>
      <c r="FE4" s="23">
        <f t="shared" ref="FE4" si="134">FD4+1</f>
        <v>43244</v>
      </c>
      <c r="FF4" s="23">
        <f t="shared" ref="FF4" si="135">FE4+1</f>
        <v>43245</v>
      </c>
      <c r="FG4" s="23">
        <f t="shared" ref="FG4" si="136">FF4+1</f>
        <v>43246</v>
      </c>
      <c r="FH4" s="23">
        <f t="shared" ref="FH4" si="137">FG4+1</f>
        <v>43247</v>
      </c>
      <c r="FI4" s="23">
        <f t="shared" ref="FI4" si="138">FH4+1</f>
        <v>43248</v>
      </c>
      <c r="FJ4" s="23">
        <f t="shared" ref="FJ4" si="139">FI4+1</f>
        <v>43249</v>
      </c>
      <c r="FK4" s="23">
        <f t="shared" ref="FK4" si="140">FJ4+1</f>
        <v>43250</v>
      </c>
      <c r="FL4" s="23">
        <f t="shared" ref="FL4" si="141">FK4+1</f>
        <v>43251</v>
      </c>
      <c r="FM4" s="23">
        <f t="shared" ref="FM4" si="142">FL4+1</f>
        <v>43252</v>
      </c>
      <c r="FN4" s="23">
        <f t="shared" ref="FN4" si="143">FM4+1</f>
        <v>43253</v>
      </c>
      <c r="FO4" s="23">
        <f t="shared" ref="FO4" si="144">FN4+1</f>
        <v>43254</v>
      </c>
      <c r="FP4" s="23">
        <f t="shared" ref="FP4" si="145">FO4+1</f>
        <v>43255</v>
      </c>
      <c r="FQ4" s="23">
        <f t="shared" ref="FQ4" si="146">FP4+1</f>
        <v>43256</v>
      </c>
      <c r="FR4" s="24">
        <f t="shared" ref="FR4" si="147">FQ4+1</f>
        <v>43257</v>
      </c>
    </row>
    <row r="5" spans="1:174" x14ac:dyDescent="0.2">
      <c r="B5" s="10" t="s">
        <v>0</v>
      </c>
      <c r="C5" s="10" t="s">
        <v>1</v>
      </c>
      <c r="D5" s="10" t="s">
        <v>2</v>
      </c>
      <c r="E5" s="10" t="s">
        <v>3</v>
      </c>
      <c r="F5" s="10" t="s">
        <v>77</v>
      </c>
      <c r="G5" s="10" t="s">
        <v>9</v>
      </c>
      <c r="H5" s="10" t="s">
        <v>10</v>
      </c>
      <c r="I5" s="10" t="s">
        <v>11</v>
      </c>
      <c r="J5" s="10" t="s">
        <v>12</v>
      </c>
      <c r="K5" s="10" t="s">
        <v>4</v>
      </c>
      <c r="L5" s="10" t="s">
        <v>5</v>
      </c>
      <c r="M5" s="10" t="s">
        <v>6</v>
      </c>
      <c r="N5" s="10" t="s">
        <v>7</v>
      </c>
      <c r="O5" s="10" t="s">
        <v>8</v>
      </c>
      <c r="P5" s="10" t="s">
        <v>13</v>
      </c>
      <c r="Q5" s="10" t="s">
        <v>14</v>
      </c>
      <c r="R5" s="23" t="str">
        <f>CHOOSE(WEEKDAY(R4,2),"一","二","三","四","五","六","日")</f>
        <v>一</v>
      </c>
      <c r="S5" s="23" t="str">
        <f t="shared" ref="S5:AK5" si="148">CHOOSE(WEEKDAY(S4,2),"一","二","三","四","五","六","日")</f>
        <v>二</v>
      </c>
      <c r="T5" s="23" t="str">
        <f t="shared" si="148"/>
        <v>三</v>
      </c>
      <c r="U5" s="23" t="str">
        <f t="shared" si="148"/>
        <v>四</v>
      </c>
      <c r="V5" s="23" t="str">
        <f t="shared" si="148"/>
        <v>五</v>
      </c>
      <c r="W5" s="23" t="str">
        <f t="shared" si="148"/>
        <v>六</v>
      </c>
      <c r="X5" s="23" t="str">
        <f t="shared" si="148"/>
        <v>日</v>
      </c>
      <c r="Y5" s="23" t="str">
        <f t="shared" si="148"/>
        <v>一</v>
      </c>
      <c r="Z5" s="23" t="str">
        <f t="shared" si="148"/>
        <v>二</v>
      </c>
      <c r="AA5" s="23" t="str">
        <f t="shared" si="148"/>
        <v>三</v>
      </c>
      <c r="AB5" s="23" t="str">
        <f t="shared" si="148"/>
        <v>四</v>
      </c>
      <c r="AC5" s="23" t="str">
        <f t="shared" si="148"/>
        <v>五</v>
      </c>
      <c r="AD5" s="23" t="str">
        <f t="shared" si="148"/>
        <v>六</v>
      </c>
      <c r="AE5" s="23" t="str">
        <f t="shared" si="148"/>
        <v>日</v>
      </c>
      <c r="AF5" s="23" t="str">
        <f t="shared" si="148"/>
        <v>一</v>
      </c>
      <c r="AG5" s="23" t="str">
        <f t="shared" si="148"/>
        <v>二</v>
      </c>
      <c r="AH5" s="23" t="str">
        <f t="shared" si="148"/>
        <v>三</v>
      </c>
      <c r="AI5" s="23" t="str">
        <f t="shared" si="148"/>
        <v>四</v>
      </c>
      <c r="AJ5" s="23" t="str">
        <f t="shared" si="148"/>
        <v>五</v>
      </c>
      <c r="AK5" s="23" t="str">
        <f t="shared" si="148"/>
        <v>六</v>
      </c>
      <c r="AL5" s="23" t="str">
        <f t="shared" ref="AL5" si="149">CHOOSE(WEEKDAY(AL4,2),"一","二","三","四","五","六","日")</f>
        <v>日</v>
      </c>
      <c r="AM5" s="23" t="str">
        <f t="shared" ref="AM5" si="150">CHOOSE(WEEKDAY(AM4,2),"一","二","三","四","五","六","日")</f>
        <v>一</v>
      </c>
      <c r="AN5" s="23" t="str">
        <f t="shared" ref="AN5" si="151">CHOOSE(WEEKDAY(AN4,2),"一","二","三","四","五","六","日")</f>
        <v>二</v>
      </c>
      <c r="AO5" s="23" t="str">
        <f t="shared" ref="AO5" si="152">CHOOSE(WEEKDAY(AO4,2),"一","二","三","四","五","六","日")</f>
        <v>三</v>
      </c>
      <c r="AP5" s="23" t="str">
        <f t="shared" ref="AP5" si="153">CHOOSE(WEEKDAY(AP4,2),"一","二","三","四","五","六","日")</f>
        <v>四</v>
      </c>
      <c r="AQ5" s="23" t="str">
        <f t="shared" ref="AQ5" si="154">CHOOSE(WEEKDAY(AQ4,2),"一","二","三","四","五","六","日")</f>
        <v>五</v>
      </c>
      <c r="AR5" s="23" t="str">
        <f t="shared" ref="AR5" si="155">CHOOSE(WEEKDAY(AR4,2),"一","二","三","四","五","六","日")</f>
        <v>六</v>
      </c>
      <c r="AS5" s="23" t="str">
        <f t="shared" ref="AS5" si="156">CHOOSE(WEEKDAY(AS4,2),"一","二","三","四","五","六","日")</f>
        <v>日</v>
      </c>
      <c r="AT5" s="23" t="str">
        <f t="shared" ref="AT5" si="157">CHOOSE(WEEKDAY(AT4,2),"一","二","三","四","五","六","日")</f>
        <v>一</v>
      </c>
      <c r="AU5" s="23" t="str">
        <f t="shared" ref="AU5" si="158">CHOOSE(WEEKDAY(AU4,2),"一","二","三","四","五","六","日")</f>
        <v>二</v>
      </c>
      <c r="AV5" s="23" t="str">
        <f t="shared" ref="AV5" si="159">CHOOSE(WEEKDAY(AV4,2),"一","二","三","四","五","六","日")</f>
        <v>三</v>
      </c>
      <c r="AW5" s="23" t="str">
        <f t="shared" ref="AW5" si="160">CHOOSE(WEEKDAY(AW4,2),"一","二","三","四","五","六","日")</f>
        <v>四</v>
      </c>
      <c r="AX5" s="23" t="str">
        <f t="shared" ref="AX5" si="161">CHOOSE(WEEKDAY(AX4,2),"一","二","三","四","五","六","日")</f>
        <v>五</v>
      </c>
      <c r="AY5" s="23" t="str">
        <f t="shared" ref="AY5" si="162">CHOOSE(WEEKDAY(AY4,2),"一","二","三","四","五","六","日")</f>
        <v>六</v>
      </c>
      <c r="AZ5" s="23" t="str">
        <f t="shared" ref="AZ5" si="163">CHOOSE(WEEKDAY(AZ4,2),"一","二","三","四","五","六","日")</f>
        <v>日</v>
      </c>
      <c r="BA5" s="23" t="str">
        <f t="shared" ref="BA5" si="164">CHOOSE(WEEKDAY(BA4,2),"一","二","三","四","五","六","日")</f>
        <v>一</v>
      </c>
      <c r="BB5" s="23" t="str">
        <f t="shared" ref="BB5" si="165">CHOOSE(WEEKDAY(BB4,2),"一","二","三","四","五","六","日")</f>
        <v>二</v>
      </c>
      <c r="BC5" s="23" t="str">
        <f t="shared" ref="BC5" si="166">CHOOSE(WEEKDAY(BC4,2),"一","二","三","四","五","六","日")</f>
        <v>三</v>
      </c>
      <c r="BD5" s="23" t="str">
        <f t="shared" ref="BD5" si="167">CHOOSE(WEEKDAY(BD4,2),"一","二","三","四","五","六","日")</f>
        <v>四</v>
      </c>
      <c r="BE5" s="23" t="str">
        <f t="shared" ref="BE5" si="168">CHOOSE(WEEKDAY(BE4,2),"一","二","三","四","五","六","日")</f>
        <v>五</v>
      </c>
      <c r="BF5" s="23" t="str">
        <f t="shared" ref="BF5" si="169">CHOOSE(WEEKDAY(BF4,2),"一","二","三","四","五","六","日")</f>
        <v>六</v>
      </c>
      <c r="BG5" s="23" t="str">
        <f t="shared" ref="BG5" si="170">CHOOSE(WEEKDAY(BG4,2),"一","二","三","四","五","六","日")</f>
        <v>日</v>
      </c>
      <c r="BH5" s="23" t="str">
        <f t="shared" ref="BH5" si="171">CHOOSE(WEEKDAY(BH4,2),"一","二","三","四","五","六","日")</f>
        <v>一</v>
      </c>
      <c r="BI5" s="23" t="str">
        <f t="shared" ref="BI5" si="172">CHOOSE(WEEKDAY(BI4,2),"一","二","三","四","五","六","日")</f>
        <v>二</v>
      </c>
      <c r="BJ5" s="23" t="str">
        <f t="shared" ref="BJ5" si="173">CHOOSE(WEEKDAY(BJ4,2),"一","二","三","四","五","六","日")</f>
        <v>三</v>
      </c>
      <c r="BK5" s="23" t="str">
        <f t="shared" ref="BK5" si="174">CHOOSE(WEEKDAY(BK4,2),"一","二","三","四","五","六","日")</f>
        <v>四</v>
      </c>
      <c r="BL5" s="23" t="str">
        <f t="shared" ref="BL5" si="175">CHOOSE(WEEKDAY(BL4,2),"一","二","三","四","五","六","日")</f>
        <v>五</v>
      </c>
      <c r="BM5" s="23" t="str">
        <f t="shared" ref="BM5" si="176">CHOOSE(WEEKDAY(BM4,2),"一","二","三","四","五","六","日")</f>
        <v>六</v>
      </c>
      <c r="BN5" s="23" t="str">
        <f t="shared" ref="BN5" si="177">CHOOSE(WEEKDAY(BN4,2),"一","二","三","四","五","六","日")</f>
        <v>日</v>
      </c>
      <c r="BO5" s="23" t="str">
        <f t="shared" ref="BO5" si="178">CHOOSE(WEEKDAY(BO4,2),"一","二","三","四","五","六","日")</f>
        <v>一</v>
      </c>
      <c r="BP5" s="23" t="str">
        <f t="shared" ref="BP5" si="179">CHOOSE(WEEKDAY(BP4,2),"一","二","三","四","五","六","日")</f>
        <v>二</v>
      </c>
      <c r="BQ5" s="23" t="str">
        <f t="shared" ref="BQ5" si="180">CHOOSE(WEEKDAY(BQ4,2),"一","二","三","四","五","六","日")</f>
        <v>三</v>
      </c>
      <c r="BR5" s="23" t="str">
        <f t="shared" ref="BR5" si="181">CHOOSE(WEEKDAY(BR4,2),"一","二","三","四","五","六","日")</f>
        <v>四</v>
      </c>
      <c r="BS5" s="23" t="str">
        <f t="shared" ref="BS5" si="182">CHOOSE(WEEKDAY(BS4,2),"一","二","三","四","五","六","日")</f>
        <v>五</v>
      </c>
      <c r="BT5" s="23" t="str">
        <f t="shared" ref="BT5" si="183">CHOOSE(WEEKDAY(BT4,2),"一","二","三","四","五","六","日")</f>
        <v>六</v>
      </c>
      <c r="BU5" s="23" t="str">
        <f t="shared" ref="BU5" si="184">CHOOSE(WEEKDAY(BU4,2),"一","二","三","四","五","六","日")</f>
        <v>日</v>
      </c>
      <c r="BV5" s="23" t="str">
        <f t="shared" ref="BV5" si="185">CHOOSE(WEEKDAY(BV4,2),"一","二","三","四","五","六","日")</f>
        <v>一</v>
      </c>
      <c r="BW5" s="23" t="str">
        <f t="shared" ref="BW5" si="186">CHOOSE(WEEKDAY(BW4,2),"一","二","三","四","五","六","日")</f>
        <v>二</v>
      </c>
      <c r="BX5" s="23" t="str">
        <f t="shared" ref="BX5" si="187">CHOOSE(WEEKDAY(BX4,2),"一","二","三","四","五","六","日")</f>
        <v>三</v>
      </c>
      <c r="BY5" s="23" t="str">
        <f t="shared" ref="BY5" si="188">CHOOSE(WEEKDAY(BY4,2),"一","二","三","四","五","六","日")</f>
        <v>四</v>
      </c>
      <c r="BZ5" s="23" t="str">
        <f t="shared" ref="BZ5" si="189">CHOOSE(WEEKDAY(BZ4,2),"一","二","三","四","五","六","日")</f>
        <v>五</v>
      </c>
      <c r="CA5" s="23" t="str">
        <f t="shared" ref="CA5" si="190">CHOOSE(WEEKDAY(CA4,2),"一","二","三","四","五","六","日")</f>
        <v>六</v>
      </c>
      <c r="CB5" s="23" t="str">
        <f t="shared" ref="CB5" si="191">CHOOSE(WEEKDAY(CB4,2),"一","二","三","四","五","六","日")</f>
        <v>日</v>
      </c>
      <c r="CC5" s="23" t="str">
        <f t="shared" ref="CC5" si="192">CHOOSE(WEEKDAY(CC4,2),"一","二","三","四","五","六","日")</f>
        <v>一</v>
      </c>
      <c r="CD5" s="23" t="str">
        <f t="shared" ref="CD5" si="193">CHOOSE(WEEKDAY(CD4,2),"一","二","三","四","五","六","日")</f>
        <v>二</v>
      </c>
      <c r="CE5" s="23" t="str">
        <f t="shared" ref="CE5" si="194">CHOOSE(WEEKDAY(CE4,2),"一","二","三","四","五","六","日")</f>
        <v>三</v>
      </c>
      <c r="CF5" s="23" t="str">
        <f t="shared" ref="CF5" si="195">CHOOSE(WEEKDAY(CF4,2),"一","二","三","四","五","六","日")</f>
        <v>四</v>
      </c>
      <c r="CG5" s="23" t="str">
        <f t="shared" ref="CG5" si="196">CHOOSE(WEEKDAY(CG4,2),"一","二","三","四","五","六","日")</f>
        <v>五</v>
      </c>
      <c r="CH5" s="23" t="str">
        <f t="shared" ref="CH5" si="197">CHOOSE(WEEKDAY(CH4,2),"一","二","三","四","五","六","日")</f>
        <v>六</v>
      </c>
      <c r="CI5" s="23" t="str">
        <f t="shared" ref="CI5" si="198">CHOOSE(WEEKDAY(CI4,2),"一","二","三","四","五","六","日")</f>
        <v>日</v>
      </c>
      <c r="CJ5" s="23" t="str">
        <f t="shared" ref="CJ5" si="199">CHOOSE(WEEKDAY(CJ4,2),"一","二","三","四","五","六","日")</f>
        <v>一</v>
      </c>
      <c r="CK5" s="23" t="str">
        <f t="shared" ref="CK5" si="200">CHOOSE(WEEKDAY(CK4,2),"一","二","三","四","五","六","日")</f>
        <v>二</v>
      </c>
      <c r="CL5" s="23" t="str">
        <f t="shared" ref="CL5" si="201">CHOOSE(WEEKDAY(CL4,2),"一","二","三","四","五","六","日")</f>
        <v>三</v>
      </c>
      <c r="CM5" s="23" t="str">
        <f t="shared" ref="CM5" si="202">CHOOSE(WEEKDAY(CM4,2),"一","二","三","四","五","六","日")</f>
        <v>四</v>
      </c>
      <c r="CN5" s="23" t="str">
        <f t="shared" ref="CN5" si="203">CHOOSE(WEEKDAY(CN4,2),"一","二","三","四","五","六","日")</f>
        <v>五</v>
      </c>
      <c r="CO5" s="23" t="str">
        <f t="shared" ref="CO5" si="204">CHOOSE(WEEKDAY(CO4,2),"一","二","三","四","五","六","日")</f>
        <v>六</v>
      </c>
      <c r="CP5" s="23" t="str">
        <f t="shared" ref="CP5" si="205">CHOOSE(WEEKDAY(CP4,2),"一","二","三","四","五","六","日")</f>
        <v>日</v>
      </c>
      <c r="CQ5" s="23" t="str">
        <f t="shared" ref="CQ5" si="206">CHOOSE(WEEKDAY(CQ4,2),"一","二","三","四","五","六","日")</f>
        <v>一</v>
      </c>
      <c r="CR5" s="23" t="str">
        <f t="shared" ref="CR5" si="207">CHOOSE(WEEKDAY(CR4,2),"一","二","三","四","五","六","日")</f>
        <v>二</v>
      </c>
      <c r="CS5" s="23" t="str">
        <f t="shared" ref="CS5" si="208">CHOOSE(WEEKDAY(CS4,2),"一","二","三","四","五","六","日")</f>
        <v>三</v>
      </c>
      <c r="CT5" s="23" t="str">
        <f t="shared" ref="CT5" si="209">CHOOSE(WEEKDAY(CT4,2),"一","二","三","四","五","六","日")</f>
        <v>四</v>
      </c>
      <c r="CU5" s="23" t="str">
        <f t="shared" ref="CU5" si="210">CHOOSE(WEEKDAY(CU4,2),"一","二","三","四","五","六","日")</f>
        <v>五</v>
      </c>
      <c r="CV5" s="23" t="str">
        <f t="shared" ref="CV5" si="211">CHOOSE(WEEKDAY(CV4,2),"一","二","三","四","五","六","日")</f>
        <v>六</v>
      </c>
      <c r="CW5" s="23" t="str">
        <f t="shared" ref="CW5" si="212">CHOOSE(WEEKDAY(CW4,2),"一","二","三","四","五","六","日")</f>
        <v>日</v>
      </c>
      <c r="CX5" s="23" t="str">
        <f t="shared" ref="CX5" si="213">CHOOSE(WEEKDAY(CX4,2),"一","二","三","四","五","六","日")</f>
        <v>一</v>
      </c>
      <c r="CY5" s="23" t="str">
        <f t="shared" ref="CY5" si="214">CHOOSE(WEEKDAY(CY4,2),"一","二","三","四","五","六","日")</f>
        <v>二</v>
      </c>
      <c r="CZ5" s="23" t="str">
        <f t="shared" ref="CZ5" si="215">CHOOSE(WEEKDAY(CZ4,2),"一","二","三","四","五","六","日")</f>
        <v>三</v>
      </c>
      <c r="DA5" s="23" t="str">
        <f t="shared" ref="DA5" si="216">CHOOSE(WEEKDAY(DA4,2),"一","二","三","四","五","六","日")</f>
        <v>四</v>
      </c>
      <c r="DB5" s="23" t="str">
        <f t="shared" ref="DB5" si="217">CHOOSE(WEEKDAY(DB4,2),"一","二","三","四","五","六","日")</f>
        <v>五</v>
      </c>
      <c r="DC5" s="23" t="str">
        <f t="shared" ref="DC5" si="218">CHOOSE(WEEKDAY(DC4,2),"一","二","三","四","五","六","日")</f>
        <v>六</v>
      </c>
      <c r="DD5" s="23" t="str">
        <f t="shared" ref="DD5" si="219">CHOOSE(WEEKDAY(DD4,2),"一","二","三","四","五","六","日")</f>
        <v>日</v>
      </c>
      <c r="DE5" s="23" t="str">
        <f t="shared" ref="DE5" si="220">CHOOSE(WEEKDAY(DE4,2),"一","二","三","四","五","六","日")</f>
        <v>一</v>
      </c>
      <c r="DF5" s="23" t="str">
        <f t="shared" ref="DF5" si="221">CHOOSE(WEEKDAY(DF4,2),"一","二","三","四","五","六","日")</f>
        <v>二</v>
      </c>
      <c r="DG5" s="23" t="str">
        <f t="shared" ref="DG5" si="222">CHOOSE(WEEKDAY(DG4,2),"一","二","三","四","五","六","日")</f>
        <v>三</v>
      </c>
      <c r="DH5" s="23" t="str">
        <f t="shared" ref="DH5" si="223">CHOOSE(WEEKDAY(DH4,2),"一","二","三","四","五","六","日")</f>
        <v>四</v>
      </c>
      <c r="DI5" s="23" t="str">
        <f t="shared" ref="DI5" si="224">CHOOSE(WEEKDAY(DI4,2),"一","二","三","四","五","六","日")</f>
        <v>五</v>
      </c>
      <c r="DJ5" s="23" t="str">
        <f t="shared" ref="DJ5" si="225">CHOOSE(WEEKDAY(DJ4,2),"一","二","三","四","五","六","日")</f>
        <v>六</v>
      </c>
      <c r="DK5" s="23" t="str">
        <f t="shared" ref="DK5" si="226">CHOOSE(WEEKDAY(DK4,2),"一","二","三","四","五","六","日")</f>
        <v>日</v>
      </c>
      <c r="DL5" s="23" t="str">
        <f t="shared" ref="DL5" si="227">CHOOSE(WEEKDAY(DL4,2),"一","二","三","四","五","六","日")</f>
        <v>一</v>
      </c>
      <c r="DM5" s="23" t="str">
        <f t="shared" ref="DM5" si="228">CHOOSE(WEEKDAY(DM4,2),"一","二","三","四","五","六","日")</f>
        <v>二</v>
      </c>
      <c r="DN5" s="23" t="str">
        <f t="shared" ref="DN5" si="229">CHOOSE(WEEKDAY(DN4,2),"一","二","三","四","五","六","日")</f>
        <v>三</v>
      </c>
      <c r="DO5" s="23" t="str">
        <f t="shared" ref="DO5" si="230">CHOOSE(WEEKDAY(DO4,2),"一","二","三","四","五","六","日")</f>
        <v>四</v>
      </c>
      <c r="DP5" s="23" t="str">
        <f t="shared" ref="DP5" si="231">CHOOSE(WEEKDAY(DP4,2),"一","二","三","四","五","六","日")</f>
        <v>五</v>
      </c>
      <c r="DQ5" s="23" t="str">
        <f t="shared" ref="DQ5" si="232">CHOOSE(WEEKDAY(DQ4,2),"一","二","三","四","五","六","日")</f>
        <v>六</v>
      </c>
      <c r="DR5" s="23" t="str">
        <f t="shared" ref="DR5" si="233">CHOOSE(WEEKDAY(DR4,2),"一","二","三","四","五","六","日")</f>
        <v>日</v>
      </c>
      <c r="DS5" s="23" t="str">
        <f t="shared" ref="DS5" si="234">CHOOSE(WEEKDAY(DS4,2),"一","二","三","四","五","六","日")</f>
        <v>一</v>
      </c>
      <c r="DT5" s="23" t="str">
        <f t="shared" ref="DT5" si="235">CHOOSE(WEEKDAY(DT4,2),"一","二","三","四","五","六","日")</f>
        <v>二</v>
      </c>
      <c r="DU5" s="23" t="str">
        <f t="shared" ref="DU5" si="236">CHOOSE(WEEKDAY(DU4,2),"一","二","三","四","五","六","日")</f>
        <v>三</v>
      </c>
      <c r="DV5" s="23" t="str">
        <f t="shared" ref="DV5" si="237">CHOOSE(WEEKDAY(DV4,2),"一","二","三","四","五","六","日")</f>
        <v>四</v>
      </c>
      <c r="DW5" s="23" t="str">
        <f t="shared" ref="DW5" si="238">CHOOSE(WEEKDAY(DW4,2),"一","二","三","四","五","六","日")</f>
        <v>五</v>
      </c>
      <c r="DX5" s="23" t="str">
        <f t="shared" ref="DX5" si="239">CHOOSE(WEEKDAY(DX4,2),"一","二","三","四","五","六","日")</f>
        <v>六</v>
      </c>
      <c r="DY5" s="23" t="str">
        <f t="shared" ref="DY5" si="240">CHOOSE(WEEKDAY(DY4,2),"一","二","三","四","五","六","日")</f>
        <v>日</v>
      </c>
      <c r="DZ5" s="23" t="str">
        <f t="shared" ref="DZ5" si="241">CHOOSE(WEEKDAY(DZ4,2),"一","二","三","四","五","六","日")</f>
        <v>一</v>
      </c>
      <c r="EA5" s="23" t="str">
        <f t="shared" ref="EA5" si="242">CHOOSE(WEEKDAY(EA4,2),"一","二","三","四","五","六","日")</f>
        <v>二</v>
      </c>
      <c r="EB5" s="23" t="str">
        <f t="shared" ref="EB5" si="243">CHOOSE(WEEKDAY(EB4,2),"一","二","三","四","五","六","日")</f>
        <v>三</v>
      </c>
      <c r="EC5" s="23" t="str">
        <f t="shared" ref="EC5" si="244">CHOOSE(WEEKDAY(EC4,2),"一","二","三","四","五","六","日")</f>
        <v>四</v>
      </c>
      <c r="ED5" s="23" t="str">
        <f t="shared" ref="ED5" si="245">CHOOSE(WEEKDAY(ED4,2),"一","二","三","四","五","六","日")</f>
        <v>五</v>
      </c>
      <c r="EE5" s="23" t="str">
        <f t="shared" ref="EE5" si="246">CHOOSE(WEEKDAY(EE4,2),"一","二","三","四","五","六","日")</f>
        <v>六</v>
      </c>
      <c r="EF5" s="23" t="str">
        <f t="shared" ref="EF5" si="247">CHOOSE(WEEKDAY(EF4,2),"一","二","三","四","五","六","日")</f>
        <v>日</v>
      </c>
      <c r="EG5" s="23" t="str">
        <f t="shared" ref="EG5" si="248">CHOOSE(WEEKDAY(EG4,2),"一","二","三","四","五","六","日")</f>
        <v>一</v>
      </c>
      <c r="EH5" s="23" t="str">
        <f t="shared" ref="EH5" si="249">CHOOSE(WEEKDAY(EH4,2),"一","二","三","四","五","六","日")</f>
        <v>二</v>
      </c>
      <c r="EI5" s="23" t="str">
        <f t="shared" ref="EI5" si="250">CHOOSE(WEEKDAY(EI4,2),"一","二","三","四","五","六","日")</f>
        <v>三</v>
      </c>
      <c r="EJ5" s="23" t="str">
        <f t="shared" ref="EJ5" si="251">CHOOSE(WEEKDAY(EJ4,2),"一","二","三","四","五","六","日")</f>
        <v>四</v>
      </c>
      <c r="EK5" s="23" t="str">
        <f t="shared" ref="EK5" si="252">CHOOSE(WEEKDAY(EK4,2),"一","二","三","四","五","六","日")</f>
        <v>五</v>
      </c>
      <c r="EL5" s="23" t="str">
        <f t="shared" ref="EL5" si="253">CHOOSE(WEEKDAY(EL4,2),"一","二","三","四","五","六","日")</f>
        <v>六</v>
      </c>
      <c r="EM5" s="23" t="str">
        <f t="shared" ref="EM5" si="254">CHOOSE(WEEKDAY(EM4,2),"一","二","三","四","五","六","日")</f>
        <v>日</v>
      </c>
      <c r="EN5" s="23" t="str">
        <f t="shared" ref="EN5" si="255">CHOOSE(WEEKDAY(EN4,2),"一","二","三","四","五","六","日")</f>
        <v>一</v>
      </c>
      <c r="EO5" s="23" t="str">
        <f t="shared" ref="EO5" si="256">CHOOSE(WEEKDAY(EO4,2),"一","二","三","四","五","六","日")</f>
        <v>二</v>
      </c>
      <c r="EP5" s="23" t="str">
        <f t="shared" ref="EP5" si="257">CHOOSE(WEEKDAY(EP4,2),"一","二","三","四","五","六","日")</f>
        <v>三</v>
      </c>
      <c r="EQ5" s="23" t="str">
        <f t="shared" ref="EQ5" si="258">CHOOSE(WEEKDAY(EQ4,2),"一","二","三","四","五","六","日")</f>
        <v>四</v>
      </c>
      <c r="ER5" s="23" t="str">
        <f t="shared" ref="ER5" si="259">CHOOSE(WEEKDAY(ER4,2),"一","二","三","四","五","六","日")</f>
        <v>五</v>
      </c>
      <c r="ES5" s="23" t="str">
        <f t="shared" ref="ES5" si="260">CHOOSE(WEEKDAY(ES4,2),"一","二","三","四","五","六","日")</f>
        <v>六</v>
      </c>
      <c r="ET5" s="23" t="str">
        <f t="shared" ref="ET5" si="261">CHOOSE(WEEKDAY(ET4,2),"一","二","三","四","五","六","日")</f>
        <v>日</v>
      </c>
      <c r="EU5" s="23" t="str">
        <f t="shared" ref="EU5" si="262">CHOOSE(WEEKDAY(EU4,2),"一","二","三","四","五","六","日")</f>
        <v>一</v>
      </c>
      <c r="EV5" s="23" t="str">
        <f t="shared" ref="EV5" si="263">CHOOSE(WEEKDAY(EV4,2),"一","二","三","四","五","六","日")</f>
        <v>二</v>
      </c>
      <c r="EW5" s="23" t="str">
        <f t="shared" ref="EW5" si="264">CHOOSE(WEEKDAY(EW4,2),"一","二","三","四","五","六","日")</f>
        <v>三</v>
      </c>
      <c r="EX5" s="23" t="str">
        <f t="shared" ref="EX5" si="265">CHOOSE(WEEKDAY(EX4,2),"一","二","三","四","五","六","日")</f>
        <v>四</v>
      </c>
      <c r="EY5" s="23" t="str">
        <f t="shared" ref="EY5" si="266">CHOOSE(WEEKDAY(EY4,2),"一","二","三","四","五","六","日")</f>
        <v>五</v>
      </c>
      <c r="EZ5" s="23" t="str">
        <f t="shared" ref="EZ5" si="267">CHOOSE(WEEKDAY(EZ4,2),"一","二","三","四","五","六","日")</f>
        <v>六</v>
      </c>
      <c r="FA5" s="23" t="str">
        <f t="shared" ref="FA5" si="268">CHOOSE(WEEKDAY(FA4,2),"一","二","三","四","五","六","日")</f>
        <v>日</v>
      </c>
      <c r="FB5" s="23" t="str">
        <f t="shared" ref="FB5" si="269">CHOOSE(WEEKDAY(FB4,2),"一","二","三","四","五","六","日")</f>
        <v>一</v>
      </c>
      <c r="FC5" s="23" t="str">
        <f t="shared" ref="FC5" si="270">CHOOSE(WEEKDAY(FC4,2),"一","二","三","四","五","六","日")</f>
        <v>二</v>
      </c>
      <c r="FD5" s="23" t="str">
        <f t="shared" ref="FD5" si="271">CHOOSE(WEEKDAY(FD4,2),"一","二","三","四","五","六","日")</f>
        <v>三</v>
      </c>
      <c r="FE5" s="23" t="str">
        <f t="shared" ref="FE5" si="272">CHOOSE(WEEKDAY(FE4,2),"一","二","三","四","五","六","日")</f>
        <v>四</v>
      </c>
      <c r="FF5" s="23" t="str">
        <f t="shared" ref="FF5" si="273">CHOOSE(WEEKDAY(FF4,2),"一","二","三","四","五","六","日")</f>
        <v>五</v>
      </c>
      <c r="FG5" s="23" t="str">
        <f t="shared" ref="FG5" si="274">CHOOSE(WEEKDAY(FG4,2),"一","二","三","四","五","六","日")</f>
        <v>六</v>
      </c>
      <c r="FH5" s="23" t="str">
        <f t="shared" ref="FH5" si="275">CHOOSE(WEEKDAY(FH4,2),"一","二","三","四","五","六","日")</f>
        <v>日</v>
      </c>
      <c r="FI5" s="23" t="str">
        <f t="shared" ref="FI5" si="276">CHOOSE(WEEKDAY(FI4,2),"一","二","三","四","五","六","日")</f>
        <v>一</v>
      </c>
      <c r="FJ5" s="23" t="str">
        <f t="shared" ref="FJ5" si="277">CHOOSE(WEEKDAY(FJ4,2),"一","二","三","四","五","六","日")</f>
        <v>二</v>
      </c>
      <c r="FK5" s="23" t="str">
        <f t="shared" ref="FK5" si="278">CHOOSE(WEEKDAY(FK4,2),"一","二","三","四","五","六","日")</f>
        <v>三</v>
      </c>
      <c r="FL5" s="23" t="str">
        <f t="shared" ref="FL5" si="279">CHOOSE(WEEKDAY(FL4,2),"一","二","三","四","五","六","日")</f>
        <v>四</v>
      </c>
      <c r="FM5" s="23" t="str">
        <f t="shared" ref="FM5" si="280">CHOOSE(WEEKDAY(FM4,2),"一","二","三","四","五","六","日")</f>
        <v>五</v>
      </c>
      <c r="FN5" s="23" t="str">
        <f t="shared" ref="FN5" si="281">CHOOSE(WEEKDAY(FN4,2),"一","二","三","四","五","六","日")</f>
        <v>六</v>
      </c>
      <c r="FO5" s="23" t="str">
        <f t="shared" ref="FO5" si="282">CHOOSE(WEEKDAY(FO4,2),"一","二","三","四","五","六","日")</f>
        <v>日</v>
      </c>
      <c r="FP5" s="23" t="str">
        <f t="shared" ref="FP5" si="283">CHOOSE(WEEKDAY(FP4,2),"一","二","三","四","五","六","日")</f>
        <v>一</v>
      </c>
      <c r="FQ5" s="23" t="str">
        <f t="shared" ref="FQ5" si="284">CHOOSE(WEEKDAY(FQ4,2),"一","二","三","四","五","六","日")</f>
        <v>二</v>
      </c>
      <c r="FR5" s="23" t="str">
        <f t="shared" ref="FR5" si="285">CHOOSE(WEEKDAY(FR4,2),"一","二","三","四","五","六","日")</f>
        <v>三</v>
      </c>
    </row>
    <row r="6" spans="1:174" x14ac:dyDescent="0.2">
      <c r="C6" t="s">
        <v>20</v>
      </c>
      <c r="D6" s="3"/>
      <c r="E6" s="5">
        <v>1</v>
      </c>
      <c r="F6" s="9">
        <v>1</v>
      </c>
      <c r="G6" s="11">
        <f t="shared" ref="G6:G16" si="286">IF(F6=0,VLOOKUP(O6,$C$6:$O$36,6,FALSE),VLOOKUP(O6,$C$6:$O$36,6,FALSE)+1)</f>
        <v>43102</v>
      </c>
      <c r="H6" s="11">
        <f>G6+F6</f>
        <v>43103</v>
      </c>
      <c r="I6" s="1"/>
      <c r="J6" s="1"/>
      <c r="N6" s="4">
        <v>0</v>
      </c>
      <c r="O6" t="s">
        <v>48</v>
      </c>
      <c r="P6" s="1">
        <v>43102</v>
      </c>
      <c r="Q6" s="1">
        <v>43103</v>
      </c>
      <c r="R6" s="17"/>
      <c r="S6" s="20"/>
      <c r="T6" s="20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</row>
    <row r="7" spans="1:174" x14ac:dyDescent="0.2">
      <c r="C7" t="s">
        <v>36</v>
      </c>
      <c r="D7" s="2"/>
      <c r="E7" s="5">
        <v>1</v>
      </c>
      <c r="F7" s="9">
        <v>0</v>
      </c>
      <c r="G7" s="11">
        <f t="shared" si="286"/>
        <v>43103</v>
      </c>
      <c r="H7" s="11">
        <f t="shared" ref="H7:H35" si="287">G7+F7</f>
        <v>43103</v>
      </c>
      <c r="I7" s="1"/>
      <c r="J7" s="1"/>
      <c r="N7" s="4">
        <v>0</v>
      </c>
      <c r="O7" t="s">
        <v>34</v>
      </c>
      <c r="P7" s="1">
        <v>43103</v>
      </c>
      <c r="Q7" s="1">
        <v>43103</v>
      </c>
      <c r="R7" s="17"/>
      <c r="S7" s="17"/>
      <c r="T7" s="20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</row>
    <row r="8" spans="1:174" x14ac:dyDescent="0.2">
      <c r="C8" t="s">
        <v>38</v>
      </c>
      <c r="E8" s="5">
        <v>1</v>
      </c>
      <c r="F8" s="9">
        <v>0</v>
      </c>
      <c r="G8" s="11">
        <f t="shared" si="286"/>
        <v>43103</v>
      </c>
      <c r="H8" s="11">
        <f t="shared" si="287"/>
        <v>43103</v>
      </c>
      <c r="I8" s="1"/>
      <c r="J8" s="1"/>
      <c r="N8" s="4">
        <v>0</v>
      </c>
      <c r="O8" t="s">
        <v>35</v>
      </c>
      <c r="P8" s="1">
        <v>43103</v>
      </c>
      <c r="Q8" s="1">
        <v>43103</v>
      </c>
      <c r="R8" s="17"/>
      <c r="S8" s="17"/>
      <c r="T8" s="20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</row>
    <row r="9" spans="1:174" x14ac:dyDescent="0.2">
      <c r="C9" t="s">
        <v>40</v>
      </c>
      <c r="E9" s="5">
        <v>1</v>
      </c>
      <c r="F9" s="9">
        <v>10</v>
      </c>
      <c r="G9" s="11">
        <f t="shared" si="286"/>
        <v>43104</v>
      </c>
      <c r="H9" s="11">
        <f t="shared" si="287"/>
        <v>43114</v>
      </c>
      <c r="I9" s="1"/>
      <c r="J9" s="1"/>
      <c r="N9" s="4">
        <v>1</v>
      </c>
      <c r="O9" t="s">
        <v>37</v>
      </c>
      <c r="P9" s="1">
        <v>43104</v>
      </c>
      <c r="Q9" s="1">
        <v>43114</v>
      </c>
      <c r="R9" s="17"/>
      <c r="S9" s="17"/>
      <c r="T9" s="17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</row>
    <row r="10" spans="1:174" x14ac:dyDescent="0.2">
      <c r="C10" t="s">
        <v>41</v>
      </c>
      <c r="E10" s="5">
        <v>0.5</v>
      </c>
      <c r="F10" s="9">
        <v>0</v>
      </c>
      <c r="G10" s="11">
        <f t="shared" si="286"/>
        <v>43114</v>
      </c>
      <c r="H10" s="11">
        <f t="shared" si="287"/>
        <v>43114</v>
      </c>
      <c r="I10" s="1"/>
      <c r="J10" s="1"/>
      <c r="N10" s="4">
        <v>1</v>
      </c>
      <c r="O10" t="s">
        <v>39</v>
      </c>
      <c r="P10" s="1">
        <v>43114</v>
      </c>
      <c r="Q10" s="1">
        <v>43114</v>
      </c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21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</row>
    <row r="11" spans="1:174" x14ac:dyDescent="0.2">
      <c r="C11" s="2" t="s">
        <v>59</v>
      </c>
      <c r="E11" s="5">
        <v>0</v>
      </c>
      <c r="F11" s="9">
        <v>10</v>
      </c>
      <c r="G11" s="11">
        <f t="shared" si="286"/>
        <v>43171</v>
      </c>
      <c r="H11" s="11">
        <f t="shared" si="287"/>
        <v>43181</v>
      </c>
      <c r="I11" s="1"/>
      <c r="J11" s="1"/>
      <c r="N11" s="4">
        <v>1</v>
      </c>
      <c r="O11" t="s">
        <v>68</v>
      </c>
      <c r="P11" s="1">
        <v>43124</v>
      </c>
      <c r="Q11" s="1">
        <v>43129</v>
      </c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</row>
    <row r="12" spans="1:174" x14ac:dyDescent="0.2">
      <c r="C12" s="2" t="s">
        <v>61</v>
      </c>
      <c r="E12" s="5">
        <v>1</v>
      </c>
      <c r="F12" s="9">
        <v>10</v>
      </c>
      <c r="G12" s="11">
        <f t="shared" si="286"/>
        <v>43182</v>
      </c>
      <c r="H12" s="11">
        <f t="shared" si="287"/>
        <v>43192</v>
      </c>
      <c r="I12" s="1"/>
      <c r="J12" s="1"/>
      <c r="N12" s="4">
        <v>1</v>
      </c>
      <c r="O12" t="s">
        <v>58</v>
      </c>
      <c r="P12" s="1">
        <v>43130</v>
      </c>
      <c r="Q12" s="1">
        <v>43136</v>
      </c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2"/>
      <c r="CQ12" s="12"/>
      <c r="CR12" s="12"/>
      <c r="CS12" s="12"/>
      <c r="CT12" s="12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</row>
    <row r="13" spans="1:174" x14ac:dyDescent="0.2">
      <c r="C13" t="s">
        <v>62</v>
      </c>
      <c r="E13" s="5">
        <v>1</v>
      </c>
      <c r="F13" s="9">
        <v>0</v>
      </c>
      <c r="G13" s="11">
        <f t="shared" si="286"/>
        <v>43192</v>
      </c>
      <c r="H13" s="11">
        <f t="shared" si="287"/>
        <v>43192</v>
      </c>
      <c r="I13" s="1"/>
      <c r="J13" s="1"/>
      <c r="N13" s="4"/>
      <c r="O13" t="s">
        <v>60</v>
      </c>
      <c r="P13" s="1">
        <v>43136</v>
      </c>
      <c r="Q13" s="1">
        <v>43136</v>
      </c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2"/>
      <c r="CW13" s="17"/>
      <c r="CX13" s="17"/>
      <c r="CY13" s="17"/>
      <c r="CZ13" s="17"/>
      <c r="DA13" s="17"/>
      <c r="DB13" s="17"/>
      <c r="DC13" s="17"/>
      <c r="DD13" s="17"/>
      <c r="DE13" s="20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</row>
    <row r="14" spans="1:174" x14ac:dyDescent="0.2">
      <c r="C14" s="2" t="s">
        <v>64</v>
      </c>
      <c r="E14" s="5">
        <v>1</v>
      </c>
      <c r="F14" s="9">
        <v>5</v>
      </c>
      <c r="G14" s="11">
        <f t="shared" si="286"/>
        <v>43115</v>
      </c>
      <c r="H14" s="11">
        <f t="shared" si="287"/>
        <v>43120</v>
      </c>
      <c r="I14" s="1"/>
      <c r="J14" s="1"/>
      <c r="N14" s="4">
        <v>0.12</v>
      </c>
      <c r="O14" t="s">
        <v>39</v>
      </c>
      <c r="P14" s="1">
        <v>43115</v>
      </c>
      <c r="Q14" s="1">
        <v>43116</v>
      </c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20"/>
      <c r="AG14" s="20"/>
      <c r="AH14" s="20"/>
      <c r="AI14" s="20"/>
      <c r="AJ14" s="20"/>
      <c r="AK14" s="20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</row>
    <row r="15" spans="1:174" x14ac:dyDescent="0.2">
      <c r="C15" s="2" t="s">
        <v>66</v>
      </c>
      <c r="E15" s="5">
        <v>0.5</v>
      </c>
      <c r="F15" s="9">
        <v>6</v>
      </c>
      <c r="G15" s="11">
        <f t="shared" si="286"/>
        <v>43121</v>
      </c>
      <c r="H15" s="11">
        <f t="shared" si="287"/>
        <v>43127</v>
      </c>
      <c r="I15" s="1"/>
      <c r="J15" s="1"/>
      <c r="N15" s="4">
        <v>0.5</v>
      </c>
      <c r="O15" t="s">
        <v>63</v>
      </c>
      <c r="P15" s="1">
        <v>43117</v>
      </c>
      <c r="Q15" s="1">
        <v>43119</v>
      </c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2"/>
      <c r="AI15" s="12"/>
      <c r="AJ15" s="12"/>
      <c r="AK15" s="17"/>
      <c r="AL15" s="21"/>
      <c r="AM15" s="21"/>
      <c r="AN15" s="21"/>
      <c r="AO15" s="21"/>
      <c r="AP15" s="21"/>
      <c r="AQ15" s="21"/>
      <c r="AR15" s="21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</row>
    <row r="16" spans="1:174" x14ac:dyDescent="0.2">
      <c r="C16" s="2" t="s">
        <v>67</v>
      </c>
      <c r="E16" s="5">
        <v>0</v>
      </c>
      <c r="F16" s="9">
        <v>5</v>
      </c>
      <c r="G16" s="11">
        <f t="shared" si="286"/>
        <v>43128</v>
      </c>
      <c r="H16" s="11">
        <f t="shared" si="287"/>
        <v>43133</v>
      </c>
      <c r="I16" s="1"/>
      <c r="J16" s="1"/>
      <c r="N16" s="4">
        <v>0.6</v>
      </c>
      <c r="O16" t="s">
        <v>65</v>
      </c>
      <c r="P16" s="1">
        <v>43120</v>
      </c>
      <c r="Q16" s="1">
        <v>43123</v>
      </c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2"/>
      <c r="AL16" s="12"/>
      <c r="AM16" s="12"/>
      <c r="AN16" s="12"/>
      <c r="AO16" s="17"/>
      <c r="AP16" s="17"/>
      <c r="AQ16" s="17"/>
      <c r="AR16" s="17"/>
      <c r="AS16" s="25"/>
      <c r="AT16" s="25"/>
      <c r="AU16" s="25"/>
      <c r="AV16" s="25"/>
      <c r="AW16" s="25"/>
      <c r="AX16" s="25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</row>
    <row r="17" spans="3:174" x14ac:dyDescent="0.2">
      <c r="C17" t="s">
        <v>49</v>
      </c>
      <c r="E17" s="5"/>
      <c r="F17" s="9">
        <v>0</v>
      </c>
      <c r="G17" s="11">
        <v>43101</v>
      </c>
      <c r="H17" s="11">
        <f>G17+F17</f>
        <v>43101</v>
      </c>
      <c r="I17" s="1"/>
      <c r="J17" s="1"/>
      <c r="N17" s="4">
        <v>0.9</v>
      </c>
      <c r="P17" s="1">
        <v>43101</v>
      </c>
      <c r="Q17" s="1">
        <v>43101</v>
      </c>
      <c r="R17" s="25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</row>
    <row r="18" spans="3:174" x14ac:dyDescent="0.2">
      <c r="C18" t="s">
        <v>51</v>
      </c>
      <c r="E18" s="5">
        <v>0.5</v>
      </c>
      <c r="F18" s="9">
        <v>5</v>
      </c>
      <c r="G18" s="11">
        <v>43159</v>
      </c>
      <c r="H18" s="11">
        <f t="shared" si="287"/>
        <v>43164</v>
      </c>
      <c r="I18" s="1"/>
      <c r="J18" s="1"/>
      <c r="N18" s="4">
        <v>0.8</v>
      </c>
      <c r="P18" s="1"/>
      <c r="Q18" s="1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21"/>
      <c r="BY18" s="21"/>
      <c r="BZ18" s="21"/>
      <c r="CA18" s="21"/>
      <c r="CB18" s="21"/>
      <c r="CC18" s="21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</row>
    <row r="19" spans="3:174" x14ac:dyDescent="0.2">
      <c r="C19" t="s">
        <v>53</v>
      </c>
      <c r="E19" s="5">
        <v>0.5</v>
      </c>
      <c r="F19" s="9">
        <v>0</v>
      </c>
      <c r="G19" s="11">
        <f t="shared" ref="G19:G35" si="288">IF(F19=0,VLOOKUP(O19,$C$6:$O$36,6,FALSE),VLOOKUP(O19,$C$6:$O$36,6,FALSE)+1)</f>
        <v>43164</v>
      </c>
      <c r="H19" s="11">
        <f t="shared" si="287"/>
        <v>43164</v>
      </c>
      <c r="I19" s="1"/>
      <c r="J19" s="1"/>
      <c r="N19" s="4">
        <v>0.4</v>
      </c>
      <c r="O19" t="s">
        <v>50</v>
      </c>
      <c r="P19" s="1"/>
      <c r="Q19" s="1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21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</row>
    <row r="20" spans="3:174" x14ac:dyDescent="0.2">
      <c r="C20" t="s">
        <v>55</v>
      </c>
      <c r="E20" s="5">
        <v>1</v>
      </c>
      <c r="F20" s="9">
        <v>0</v>
      </c>
      <c r="G20" s="11">
        <f t="shared" si="288"/>
        <v>43164</v>
      </c>
      <c r="H20" s="11">
        <f t="shared" si="287"/>
        <v>43164</v>
      </c>
      <c r="I20" s="1"/>
      <c r="J20" s="1"/>
      <c r="N20" s="4">
        <v>1</v>
      </c>
      <c r="O20" t="s">
        <v>52</v>
      </c>
      <c r="P20" s="1"/>
      <c r="Q20" s="1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20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</row>
    <row r="21" spans="3:174" x14ac:dyDescent="0.2">
      <c r="C21" t="s">
        <v>57</v>
      </c>
      <c r="E21" s="5">
        <v>0.8</v>
      </c>
      <c r="F21" s="9">
        <v>0</v>
      </c>
      <c r="G21" s="11">
        <f t="shared" si="288"/>
        <v>43164</v>
      </c>
      <c r="H21" s="11">
        <f t="shared" si="287"/>
        <v>43164</v>
      </c>
      <c r="I21" s="1"/>
      <c r="J21" s="1"/>
      <c r="N21" s="4">
        <v>1</v>
      </c>
      <c r="O21" t="s">
        <v>54</v>
      </c>
      <c r="P21" s="1"/>
      <c r="Q21" s="1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21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</row>
    <row r="22" spans="3:174" x14ac:dyDescent="0.2">
      <c r="C22" s="2" t="s">
        <v>69</v>
      </c>
      <c r="E22" s="5">
        <v>1</v>
      </c>
      <c r="F22" s="9">
        <v>5</v>
      </c>
      <c r="G22" s="11">
        <f t="shared" si="288"/>
        <v>43165</v>
      </c>
      <c r="H22" s="11">
        <f t="shared" si="287"/>
        <v>43170</v>
      </c>
      <c r="I22" s="1"/>
      <c r="J22" s="1"/>
      <c r="N22" s="4">
        <v>1</v>
      </c>
      <c r="O22" t="s">
        <v>56</v>
      </c>
      <c r="P22" s="1"/>
      <c r="Q22" s="1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20"/>
      <c r="CE22" s="20"/>
      <c r="CF22" s="20"/>
      <c r="CG22" s="20"/>
      <c r="CH22" s="20"/>
      <c r="CI22" s="20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</row>
    <row r="23" spans="3:174" x14ac:dyDescent="0.2">
      <c r="C23" s="2" t="s">
        <v>70</v>
      </c>
      <c r="E23" s="5"/>
      <c r="F23" s="9"/>
      <c r="G23" s="11">
        <f t="shared" si="288"/>
        <v>43170</v>
      </c>
      <c r="H23" s="11">
        <f t="shared" si="287"/>
        <v>43170</v>
      </c>
      <c r="I23" s="1"/>
      <c r="J23" s="1"/>
      <c r="N23" s="4"/>
      <c r="O23" t="s">
        <v>68</v>
      </c>
      <c r="P23" s="1"/>
      <c r="Q23" s="1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</row>
    <row r="24" spans="3:174" x14ac:dyDescent="0.2">
      <c r="C24" t="s">
        <v>71</v>
      </c>
      <c r="E24" s="5"/>
      <c r="F24" s="9"/>
      <c r="G24" s="11" t="e">
        <f t="shared" si="288"/>
        <v>#N/A</v>
      </c>
      <c r="H24" s="11" t="e">
        <f t="shared" si="287"/>
        <v>#N/A</v>
      </c>
      <c r="I24" s="1"/>
      <c r="J24" s="1"/>
      <c r="N24" s="4"/>
      <c r="P24" s="1"/>
      <c r="Q24" s="1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</row>
    <row r="25" spans="3:174" x14ac:dyDescent="0.2">
      <c r="C25" s="2" t="s">
        <v>72</v>
      </c>
      <c r="E25" s="5"/>
      <c r="F25" s="9"/>
      <c r="G25" s="11" t="e">
        <f t="shared" si="288"/>
        <v>#N/A</v>
      </c>
      <c r="H25" s="11" t="e">
        <f t="shared" si="287"/>
        <v>#N/A</v>
      </c>
      <c r="I25" s="1"/>
      <c r="J25" s="1"/>
      <c r="N25" s="4"/>
      <c r="P25" s="1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</row>
    <row r="26" spans="3:174" x14ac:dyDescent="0.2">
      <c r="C26" s="2" t="s">
        <v>73</v>
      </c>
      <c r="E26" s="5"/>
      <c r="F26" s="9"/>
      <c r="G26" s="11" t="e">
        <f t="shared" si="288"/>
        <v>#N/A</v>
      </c>
      <c r="H26" s="11" t="e">
        <f t="shared" si="287"/>
        <v>#N/A</v>
      </c>
      <c r="I26" s="1"/>
      <c r="J26" s="1"/>
      <c r="N26" s="4"/>
      <c r="P26" s="1"/>
      <c r="Q26" s="1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</row>
    <row r="27" spans="3:174" x14ac:dyDescent="0.2">
      <c r="C27" s="2" t="s">
        <v>74</v>
      </c>
      <c r="E27" s="5"/>
      <c r="F27" s="9"/>
      <c r="G27" s="11" t="e">
        <f t="shared" si="288"/>
        <v>#N/A</v>
      </c>
      <c r="H27" s="11" t="e">
        <f t="shared" si="287"/>
        <v>#N/A</v>
      </c>
      <c r="I27" s="1"/>
      <c r="J27" s="1"/>
      <c r="N27" s="4"/>
      <c r="P27" s="1"/>
      <c r="Q27" s="1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</row>
    <row r="28" spans="3:174" x14ac:dyDescent="0.2">
      <c r="C28" t="s">
        <v>22</v>
      </c>
      <c r="E28" s="5"/>
      <c r="F28" s="9"/>
      <c r="G28" s="11" t="e">
        <f t="shared" si="288"/>
        <v>#N/A</v>
      </c>
      <c r="H28" s="11" t="e">
        <f t="shared" si="287"/>
        <v>#N/A</v>
      </c>
      <c r="I28" s="1"/>
      <c r="J28" s="1"/>
      <c r="N28" s="4"/>
      <c r="P28" s="1"/>
      <c r="Q28" s="1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</row>
    <row r="29" spans="3:174" x14ac:dyDescent="0.2">
      <c r="C29" t="s">
        <v>23</v>
      </c>
      <c r="E29" s="5"/>
      <c r="F29" s="9"/>
      <c r="G29" s="11" t="e">
        <f t="shared" si="288"/>
        <v>#N/A</v>
      </c>
      <c r="H29" s="11" t="e">
        <f t="shared" si="287"/>
        <v>#N/A</v>
      </c>
      <c r="I29" s="1"/>
      <c r="J29" s="1"/>
      <c r="N29" s="4"/>
      <c r="P29" s="1"/>
      <c r="Q29" s="1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</row>
    <row r="30" spans="3:174" x14ac:dyDescent="0.2">
      <c r="C30" t="s">
        <v>24</v>
      </c>
      <c r="E30" s="5"/>
      <c r="F30" s="9"/>
      <c r="G30" s="11" t="e">
        <f t="shared" si="288"/>
        <v>#N/A</v>
      </c>
      <c r="H30" s="11" t="e">
        <f t="shared" si="287"/>
        <v>#N/A</v>
      </c>
      <c r="I30" s="1"/>
      <c r="J30" s="1"/>
      <c r="N30" s="4"/>
      <c r="P30" s="1"/>
      <c r="Q30" s="1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</row>
    <row r="31" spans="3:174" x14ac:dyDescent="0.2">
      <c r="C31" t="s">
        <v>25</v>
      </c>
      <c r="E31" s="5"/>
      <c r="F31" s="9"/>
      <c r="G31" s="11" t="e">
        <f t="shared" si="288"/>
        <v>#N/A</v>
      </c>
      <c r="H31" s="11" t="e">
        <f t="shared" si="287"/>
        <v>#N/A</v>
      </c>
      <c r="I31" s="1"/>
      <c r="J31" s="1"/>
      <c r="N31" s="4"/>
      <c r="P31" s="1"/>
      <c r="Q31" s="1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</row>
    <row r="32" spans="3:174" x14ac:dyDescent="0.2">
      <c r="C32" t="s">
        <v>21</v>
      </c>
      <c r="E32" s="5"/>
      <c r="F32" s="9"/>
      <c r="G32" s="11" t="e">
        <f t="shared" si="288"/>
        <v>#N/A</v>
      </c>
      <c r="H32" s="11" t="e">
        <f t="shared" si="287"/>
        <v>#N/A</v>
      </c>
      <c r="I32" s="1"/>
      <c r="J32" s="1"/>
      <c r="N32" s="4"/>
      <c r="P32" s="1"/>
      <c r="Q32" s="1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</row>
    <row r="33" spans="3:174" x14ac:dyDescent="0.2">
      <c r="C33" t="s">
        <v>26</v>
      </c>
      <c r="E33" s="5"/>
      <c r="F33" s="9"/>
      <c r="G33" s="11" t="e">
        <f t="shared" si="288"/>
        <v>#N/A</v>
      </c>
      <c r="H33" s="11" t="e">
        <f t="shared" si="287"/>
        <v>#N/A</v>
      </c>
      <c r="I33" s="1"/>
      <c r="J33" s="1"/>
      <c r="N33" s="4"/>
      <c r="P33" s="1"/>
      <c r="Q33" s="1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</row>
    <row r="34" spans="3:174" x14ac:dyDescent="0.2">
      <c r="C34" t="s">
        <v>27</v>
      </c>
      <c r="E34" s="5"/>
      <c r="F34" s="9"/>
      <c r="G34" s="11" t="e">
        <f t="shared" si="288"/>
        <v>#N/A</v>
      </c>
      <c r="H34" s="11" t="e">
        <f t="shared" si="287"/>
        <v>#N/A</v>
      </c>
      <c r="N34" s="4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</row>
    <row r="35" spans="3:174" x14ac:dyDescent="0.2">
      <c r="C35" t="s">
        <v>28</v>
      </c>
      <c r="E35" s="5"/>
      <c r="F35" s="9"/>
      <c r="G35" s="11" t="e">
        <f t="shared" si="288"/>
        <v>#N/A</v>
      </c>
      <c r="H35" s="11" t="e">
        <f t="shared" si="287"/>
        <v>#N/A</v>
      </c>
      <c r="N35" s="4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</row>
    <row r="36" spans="3:174" x14ac:dyDescent="0.2"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</row>
    <row r="37" spans="3:174" x14ac:dyDescent="0.2"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</row>
    <row r="38" spans="3:174" x14ac:dyDescent="0.2"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17"/>
      <c r="FJ38" s="17"/>
      <c r="FK38" s="17"/>
      <c r="FL38" s="17"/>
      <c r="FM38" s="17"/>
      <c r="FN38" s="17"/>
      <c r="FO38" s="17"/>
      <c r="FP38" s="17"/>
      <c r="FQ38" s="17"/>
      <c r="FR38" s="17"/>
    </row>
    <row r="39" spans="3:174" x14ac:dyDescent="0.2"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17"/>
      <c r="FK39" s="17"/>
      <c r="FL39" s="17"/>
      <c r="FM39" s="17"/>
      <c r="FN39" s="17"/>
      <c r="FO39" s="17"/>
      <c r="FP39" s="17"/>
      <c r="FQ39" s="17"/>
      <c r="FR39" s="17"/>
    </row>
    <row r="40" spans="3:174" x14ac:dyDescent="0.2"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17"/>
      <c r="FK40" s="17"/>
      <c r="FL40" s="17"/>
      <c r="FM40" s="17"/>
      <c r="FN40" s="17"/>
      <c r="FO40" s="17"/>
      <c r="FP40" s="17"/>
      <c r="FQ40" s="17"/>
      <c r="FR40" s="17"/>
    </row>
    <row r="41" spans="3:174" x14ac:dyDescent="0.2"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8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</row>
    <row r="42" spans="3:174" x14ac:dyDescent="0.2"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</row>
    <row r="43" spans="3:174" x14ac:dyDescent="0.2"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</row>
    <row r="44" spans="3:174" x14ac:dyDescent="0.2"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</row>
    <row r="45" spans="3:174" x14ac:dyDescent="0.2"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</row>
    <row r="46" spans="3:174" x14ac:dyDescent="0.2"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</row>
    <row r="47" spans="3:174" x14ac:dyDescent="0.2"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</row>
    <row r="48" spans="3:174" x14ac:dyDescent="0.2"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</row>
    <row r="49" spans="18:174" x14ac:dyDescent="0.2"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</row>
    <row r="50" spans="18:174" x14ac:dyDescent="0.2"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</row>
    <row r="51" spans="18:174" x14ac:dyDescent="0.2"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</row>
    <row r="52" spans="18:174" x14ac:dyDescent="0.2"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</row>
  </sheetData>
  <mergeCells count="5">
    <mergeCell ref="S3:AV3"/>
    <mergeCell ref="AW3:BX3"/>
    <mergeCell ref="BY3:DB3"/>
    <mergeCell ref="DC3:EG3"/>
    <mergeCell ref="EH3:FL3"/>
  </mergeCells>
  <phoneticPr fontId="1" type="noConversion"/>
  <conditionalFormatting sqref="N6:N35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{87C9BACB-28EB-4786-AF51-08034CABB64A}</x14:id>
        </ext>
      </extLst>
    </cfRule>
  </conditionalFormatting>
  <conditionalFormatting sqref="E6:E35">
    <cfRule type="dataBar" priority="4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{DF7DEC3D-64A8-4A54-AE62-63443096F036}</x14:id>
        </ext>
      </extLst>
    </cfRule>
  </conditionalFormatting>
  <conditionalFormatting sqref="R5:FR5">
    <cfRule type="cellIs" dxfId="1" priority="1" operator="equal">
      <formula>"日"</formula>
    </cfRule>
    <cfRule type="cellIs" dxfId="0" priority="2" operator="equal">
      <formula>"六"</formula>
    </cfRule>
  </conditionalFormatting>
  <dataValidations count="1">
    <dataValidation type="list" allowBlank="1" showInputMessage="1" showErrorMessage="1" sqref="O6:O35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12</xdr:col>
                    <xdr:colOff>742950</xdr:colOff>
                    <xdr:row>2</xdr:row>
                    <xdr:rowOff>19050</xdr:rowOff>
                  </from>
                  <to>
                    <xdr:col>14</xdr:col>
                    <xdr:colOff>57150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C9BACB-28EB-4786-AF51-08034CABB6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N6:N35</xm:sqref>
        </x14:conditionalFormatting>
        <x14:conditionalFormatting xmlns:xm="http://schemas.microsoft.com/office/excel/2006/main">
          <x14:cfRule type="dataBar" id="{DF7DEC3D-64A8-4A54-AE62-63443096F0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I3" sqref="I3:L3"/>
    </sheetView>
  </sheetViews>
  <sheetFormatPr defaultRowHeight="14.25" x14ac:dyDescent="0.2"/>
  <cols>
    <col min="3" max="3" width="10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t="s">
        <v>15</v>
      </c>
      <c r="C3" t="s">
        <v>75</v>
      </c>
      <c r="D3" t="s">
        <v>78</v>
      </c>
      <c r="G3" t="s">
        <v>29</v>
      </c>
      <c r="I3" t="s">
        <v>79</v>
      </c>
      <c r="J3" s="13"/>
      <c r="K3" t="s">
        <v>80</v>
      </c>
      <c r="L3" s="22"/>
    </row>
    <row r="4" spans="1:174" x14ac:dyDescent="0.2">
      <c r="B4" t="s">
        <v>16</v>
      </c>
      <c r="C4" s="1">
        <v>43128</v>
      </c>
      <c r="D4" s="1">
        <v>43134</v>
      </c>
      <c r="G4" t="s">
        <v>30</v>
      </c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</row>
    <row r="5" spans="1:174" x14ac:dyDescent="0.2">
      <c r="B5" t="s">
        <v>17</v>
      </c>
      <c r="C5" s="1">
        <v>43129</v>
      </c>
      <c r="G5" t="s">
        <v>31</v>
      </c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</row>
    <row r="6" spans="1:174" x14ac:dyDescent="0.2">
      <c r="B6" t="s">
        <v>18</v>
      </c>
      <c r="C6" s="1">
        <v>43151</v>
      </c>
      <c r="G6" t="s">
        <v>32</v>
      </c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</row>
    <row r="7" spans="1:174" x14ac:dyDescent="0.2">
      <c r="B7" t="s">
        <v>19</v>
      </c>
      <c r="C7" s="1">
        <f>C2</f>
        <v>43129</v>
      </c>
      <c r="G7" t="s">
        <v>33</v>
      </c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</row>
    <row r="8" spans="1:174" x14ac:dyDescent="0.2">
      <c r="G8" s="2" t="s">
        <v>42</v>
      </c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</row>
    <row r="9" spans="1:174" x14ac:dyDescent="0.2">
      <c r="G9" s="2" t="s">
        <v>43</v>
      </c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</row>
    <row r="10" spans="1:174" x14ac:dyDescent="0.2">
      <c r="G10" t="s">
        <v>44</v>
      </c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</row>
    <row r="11" spans="1:174" x14ac:dyDescent="0.2">
      <c r="G11" s="2" t="s">
        <v>45</v>
      </c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</row>
    <row r="12" spans="1:174" x14ac:dyDescent="0.2">
      <c r="G12" s="2" t="s">
        <v>46</v>
      </c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</row>
    <row r="13" spans="1:174" x14ac:dyDescent="0.2">
      <c r="G13" s="2" t="s">
        <v>47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</row>
    <row r="14" spans="1:174" x14ac:dyDescent="0.2"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</row>
    <row r="15" spans="1:174" x14ac:dyDescent="0.2"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</row>
    <row r="16" spans="1:174" x14ac:dyDescent="0.2"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</row>
    <row r="17" spans="10:174" x14ac:dyDescent="0.2"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</row>
    <row r="18" spans="10:174" x14ac:dyDescent="0.2"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</row>
    <row r="19" spans="10:174" x14ac:dyDescent="0.2"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</row>
    <row r="20" spans="10:174" x14ac:dyDescent="0.2">
      <c r="J20" s="13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</row>
    <row r="21" spans="10:174" x14ac:dyDescent="0.2"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</row>
    <row r="22" spans="10:174" x14ac:dyDescent="0.2"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</row>
    <row r="23" spans="10:174" x14ac:dyDescent="0.2"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</row>
    <row r="24" spans="10:174" x14ac:dyDescent="0.2"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</row>
    <row r="25" spans="10:174" x14ac:dyDescent="0.2"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</row>
    <row r="26" spans="10:174" x14ac:dyDescent="0.2"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</row>
    <row r="27" spans="10:174" x14ac:dyDescent="0.2"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</row>
    <row r="28" spans="10:174" x14ac:dyDescent="0.2"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</row>
    <row r="29" spans="10:174" x14ac:dyDescent="0.2"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</row>
    <row r="30" spans="10:174" x14ac:dyDescent="0.2"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</row>
    <row r="31" spans="10:174" x14ac:dyDescent="0.2"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</row>
    <row r="32" spans="10:174" x14ac:dyDescent="0.2"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</row>
    <row r="33" spans="18:174" x14ac:dyDescent="0.2"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</row>
    <row r="34" spans="18:174" x14ac:dyDescent="0.2"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</row>
    <row r="35" spans="18:174" x14ac:dyDescent="0.2"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</row>
    <row r="36" spans="18:174" x14ac:dyDescent="0.2"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</row>
    <row r="37" spans="18:174" x14ac:dyDescent="0.2"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</row>
    <row r="38" spans="18:174" x14ac:dyDescent="0.2"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</row>
    <row r="39" spans="18:174" x14ac:dyDescent="0.2"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</row>
    <row r="40" spans="18:174" x14ac:dyDescent="0.2"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</row>
    <row r="41" spans="18:174" x14ac:dyDescent="0.2"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</row>
    <row r="42" spans="18:174" x14ac:dyDescent="0.2"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</row>
    <row r="43" spans="18:174" x14ac:dyDescent="0.2"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</row>
    <row r="44" spans="18:174" x14ac:dyDescent="0.2"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</row>
    <row r="45" spans="18:174" x14ac:dyDescent="0.2"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</row>
    <row r="46" spans="18:174" x14ac:dyDescent="0.2"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</row>
    <row r="47" spans="18:174" x14ac:dyDescent="0.2"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</row>
    <row r="48" spans="18:174" x14ac:dyDescent="0.2"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</row>
    <row r="49" spans="18:174" x14ac:dyDescent="0.2"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</row>
    <row r="50" spans="18:174" x14ac:dyDescent="0.2"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0"/>
  <sheetViews>
    <sheetView showGridLines="0" topLeftCell="A10" workbookViewId="0">
      <selection activeCell="G23" sqref="G23"/>
    </sheetView>
  </sheetViews>
  <sheetFormatPr defaultRowHeight="14.25" x14ac:dyDescent="0.2"/>
  <cols>
    <col min="1" max="1" width="3.25" customWidth="1"/>
  </cols>
  <sheetData>
    <row r="2" spans="2:14" x14ac:dyDescent="0.2">
      <c r="B2" t="s">
        <v>76</v>
      </c>
    </row>
    <row r="3" spans="2:14" x14ac:dyDescent="0.2">
      <c r="B3" s="6"/>
      <c r="C3" s="8">
        <v>43101</v>
      </c>
      <c r="D3" s="8">
        <v>43132</v>
      </c>
      <c r="E3" s="8">
        <v>43160</v>
      </c>
      <c r="F3" s="8">
        <v>43191</v>
      </c>
      <c r="G3" s="8">
        <v>43221</v>
      </c>
      <c r="H3" s="8">
        <v>43252</v>
      </c>
      <c r="I3" s="8">
        <v>43282</v>
      </c>
      <c r="J3" s="8">
        <v>43313</v>
      </c>
      <c r="K3" s="8">
        <v>43344</v>
      </c>
      <c r="L3" s="8">
        <v>43374</v>
      </c>
      <c r="M3" s="8">
        <v>43405</v>
      </c>
      <c r="N3" s="8">
        <v>43435</v>
      </c>
    </row>
    <row r="4" spans="2:14" x14ac:dyDescent="0.2">
      <c r="B4" s="6" t="s">
        <v>16</v>
      </c>
      <c r="C4" s="7">
        <v>1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2:14" x14ac:dyDescent="0.2">
      <c r="B5" s="6" t="s">
        <v>17</v>
      </c>
      <c r="C5" s="7">
        <v>0.2</v>
      </c>
      <c r="D5" s="7"/>
      <c r="E5" s="7">
        <v>0.1</v>
      </c>
      <c r="F5" s="7">
        <v>0.5</v>
      </c>
      <c r="G5" s="7"/>
      <c r="H5" s="7"/>
      <c r="I5" s="7"/>
      <c r="J5" s="7"/>
      <c r="K5" s="7"/>
      <c r="L5" s="7"/>
      <c r="M5" s="7"/>
      <c r="N5" s="7"/>
    </row>
    <row r="6" spans="2:14" x14ac:dyDescent="0.2">
      <c r="B6" s="6" t="s">
        <v>18</v>
      </c>
      <c r="C6" s="7">
        <v>0.45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2:14" x14ac:dyDescent="0.2">
      <c r="B7" s="6" t="s">
        <v>19</v>
      </c>
      <c r="C7" s="7">
        <v>0.9</v>
      </c>
      <c r="D7" s="7"/>
      <c r="E7" s="7"/>
      <c r="F7" s="7"/>
      <c r="G7" s="7"/>
      <c r="H7" s="7"/>
      <c r="I7" s="7"/>
      <c r="J7" s="7">
        <v>1</v>
      </c>
      <c r="K7" s="7">
        <v>1</v>
      </c>
      <c r="L7" s="7">
        <v>1</v>
      </c>
      <c r="M7" s="7">
        <v>1</v>
      </c>
      <c r="N7" s="7">
        <v>1</v>
      </c>
    </row>
    <row r="15" spans="2:14" x14ac:dyDescent="0.2">
      <c r="J15" s="19"/>
    </row>
    <row r="20" spans="10:10" x14ac:dyDescent="0.2">
      <c r="J20" s="19"/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2018-01-29T15:02:49Z</dcterms:modified>
</cp:coreProperties>
</file>